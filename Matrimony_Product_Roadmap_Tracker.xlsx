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nt Singh\Downloads\"/>
    </mc:Choice>
  </mc:AlternateContent>
  <xr:revisionPtr revIDLastSave="0" documentId="13_ncr:1_{8E22565E-11D3-475F-A968-52128265B75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Lists" sheetId="1" r:id="rId1"/>
    <sheet name="Product Roadmap" sheetId="2" r:id="rId2"/>
    <sheet name="Security Checklist" sheetId="3" r:id="rId3"/>
    <sheet name="Performance Checklist" sheetId="4" r:id="rId4"/>
    <sheet name="MVP Deployment Order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6" l="1"/>
  <c r="F8" i="6"/>
  <c r="E8" i="6"/>
  <c r="B8" i="6"/>
  <c r="G7" i="6"/>
  <c r="F7" i="6"/>
  <c r="E7" i="6"/>
  <c r="B7" i="6"/>
  <c r="G6" i="6"/>
  <c r="F6" i="6"/>
  <c r="E6" i="6"/>
  <c r="B6" i="6"/>
  <c r="G5" i="6"/>
  <c r="F5" i="6"/>
  <c r="E5" i="6"/>
  <c r="B5" i="6"/>
</calcChain>
</file>

<file path=xl/sharedStrings.xml><?xml version="1.0" encoding="utf-8"?>
<sst xmlns="http://schemas.openxmlformats.org/spreadsheetml/2006/main" count="1314" uniqueCount="616">
  <si>
    <t>Status</t>
  </si>
  <si>
    <t>Priority</t>
  </si>
  <si>
    <t>Release</t>
  </si>
  <si>
    <t>Not Started</t>
  </si>
  <si>
    <t>Critical</t>
  </si>
  <si>
    <t>MVP</t>
  </si>
  <si>
    <t>In Progress</t>
  </si>
  <si>
    <t>High</t>
  </si>
  <si>
    <t>Phase 2</t>
  </si>
  <si>
    <t>Done</t>
  </si>
  <si>
    <t>Medium</t>
  </si>
  <si>
    <t>Phase 3</t>
  </si>
  <si>
    <t>Blocked</t>
  </si>
  <si>
    <t>Low</t>
  </si>
  <si>
    <t>Phase 4</t>
  </si>
  <si>
    <t>On Hold</t>
  </si>
  <si>
    <t>Future</t>
  </si>
  <si>
    <t>ID</t>
  </si>
  <si>
    <t>Phase</t>
  </si>
  <si>
    <t>Module</t>
  </si>
  <si>
    <t>Item</t>
  </si>
  <si>
    <t>Description / Acceptance Outcome</t>
  </si>
  <si>
    <t>Target Release</t>
  </si>
  <si>
    <t>Dependency</t>
  </si>
  <si>
    <t>Owner</t>
  </si>
  <si>
    <t>Notes</t>
  </si>
  <si>
    <t>P1-001</t>
  </si>
  <si>
    <t>Phase 1 - MVP</t>
  </si>
  <si>
    <t>Registration &amp; Authentication</t>
  </si>
  <si>
    <t>Mobile OTP registration/login</t>
  </si>
  <si>
    <t>Register and authenticate members using mobile OTP.</t>
  </si>
  <si>
    <t>P1-002</t>
  </si>
  <si>
    <t>Email/password login</t>
  </si>
  <si>
    <t>Support secure email and password based authentication.</t>
  </si>
  <si>
    <t>P1-003</t>
  </si>
  <si>
    <t>Google social login</t>
  </si>
  <si>
    <t>Allow members to register and sign in using Google.</t>
  </si>
  <si>
    <t>P1-004</t>
  </si>
  <si>
    <t>Email and mobile verification status</t>
  </si>
  <si>
    <t>Store and display verified email/mobile states.</t>
  </si>
  <si>
    <t>P1-005</t>
  </si>
  <si>
    <t>Account recovery and logout</t>
  </si>
  <si>
    <t>Secure password reset, token revocation and logout flow.</t>
  </si>
  <si>
    <t>P1-006</t>
  </si>
  <si>
    <t>Profile Creation</t>
  </si>
  <si>
    <t>Basic profile information</t>
  </si>
  <si>
    <t>Name, gender, date of birth, height, weight and marital status.</t>
  </si>
  <si>
    <t>P1-007</t>
  </si>
  <si>
    <t>Religion and community details</t>
  </si>
  <si>
    <t>Religion, caste, sub-caste, gotra and manglik details.</t>
  </si>
  <si>
    <t>P1-008</t>
  </si>
  <si>
    <t>Education details</t>
  </si>
  <si>
    <t>Highest qualification, college, university and specialization.</t>
  </si>
  <si>
    <t>P1-009</t>
  </si>
  <si>
    <t>Career details</t>
  </si>
  <si>
    <t>Occupation, employer, industry and income information.</t>
  </si>
  <si>
    <t>P1-010</t>
  </si>
  <si>
    <t>Family details</t>
  </si>
  <si>
    <t>Parents, siblings, family type, status and values.</t>
  </si>
  <si>
    <t>P1-011</t>
  </si>
  <si>
    <t>Lifestyle details</t>
  </si>
  <si>
    <t>Food, smoking, drinking and lifestyle preferences.</t>
  </si>
  <si>
    <t>P1-012</t>
  </si>
  <si>
    <t>Location details</t>
  </si>
  <si>
    <t>Country, state, city and current residence.</t>
  </si>
  <si>
    <t>P1-013</t>
  </si>
  <si>
    <t>Horoscope details</t>
  </si>
  <si>
    <t>Birth time, birth place, rashi and nakshatra.</t>
  </si>
  <si>
    <t>P1-014</t>
  </si>
  <si>
    <t>Profile photos and album</t>
  </si>
  <si>
    <t>Upload, crop, reorder, moderate and control visibility of photos.</t>
  </si>
  <si>
    <t>P1-015</t>
  </si>
  <si>
    <t>Profile completion indicator</t>
  </si>
  <si>
    <t>Calculate completion percentage and guide members to missing fields.</t>
  </si>
  <si>
    <t>P1-016</t>
  </si>
  <si>
    <t>Partner Preferences</t>
  </si>
  <si>
    <t>Partner preference form</t>
  </si>
  <si>
    <t>Age, height, education, religion, community, location, occupation and income preferences.</t>
  </si>
  <si>
    <t>P1-017</t>
  </si>
  <si>
    <t>Search &amp; Discovery</t>
  </si>
  <si>
    <t>Basic member search</t>
  </si>
  <si>
    <t>Search active profiles using approved searchable profile fields.</t>
  </si>
  <si>
    <t>P1-018</t>
  </si>
  <si>
    <t>Advanced filters</t>
  </si>
  <si>
    <t>Age, height, religion, community, income, education, location, marital status and photo filters.</t>
  </si>
  <si>
    <t>P1-019</t>
  </si>
  <si>
    <t>Sorting and pagination</t>
  </si>
  <si>
    <t>Recently joined, last active, relevance and paginated results.</t>
  </si>
  <si>
    <t>P1-020</t>
  </si>
  <si>
    <t>Profile detail view</t>
  </si>
  <si>
    <t>Complete profile view with privacy-aware contact and photo access.</t>
  </si>
  <si>
    <t>P1-021</t>
  </si>
  <si>
    <t>Matching</t>
  </si>
  <si>
    <t>Rule-based match recommendations</t>
  </si>
  <si>
    <t>Recommend members based on preferences and weighted profile attributes.</t>
  </si>
  <si>
    <t>P1-022</t>
  </si>
  <si>
    <t>Match reason display</t>
  </si>
  <si>
    <t>Explain why a profile has been recommended.</t>
  </si>
  <si>
    <t>P1-023</t>
  </si>
  <si>
    <t>Interest Workflow</t>
  </si>
  <si>
    <t>Send interest</t>
  </si>
  <si>
    <t>Allow eligible members to send an interest request.</t>
  </si>
  <si>
    <t>P1-024</t>
  </si>
  <si>
    <t>Accept or decline interest</t>
  </si>
  <si>
    <t>Recipient can accept, decline or leave interest pending.</t>
  </si>
  <si>
    <t>P1-025</t>
  </si>
  <si>
    <t>Shortlist profile</t>
  </si>
  <si>
    <t>Members can save profiles for later consideration.</t>
  </si>
  <si>
    <t>P1-026</t>
  </si>
  <si>
    <t>Block and report profile</t>
  </si>
  <si>
    <t>Members can block communication and report suspicious profiles.</t>
  </si>
  <si>
    <t>P1-027</t>
  </si>
  <si>
    <t>Messaging</t>
  </si>
  <si>
    <t>Chat after accepted interest</t>
  </si>
  <si>
    <t>Enable one-to-one text chat after mutual connection.</t>
  </si>
  <si>
    <t>P1-028</t>
  </si>
  <si>
    <t>Unread counts and conversation list</t>
  </si>
  <si>
    <t>Display conversations, latest message and unread message count.</t>
  </si>
  <si>
    <t>P1-029</t>
  </si>
  <si>
    <t>Messaging notifications</t>
  </si>
  <si>
    <t>Notify members of new interests, acceptance and messages.</t>
  </si>
  <si>
    <t>P1-030</t>
  </si>
  <si>
    <t>Membership &amp; Payments</t>
  </si>
  <si>
    <t>Membership plan catalogue</t>
  </si>
  <si>
    <t>Create one, three, six and twelve month plans.</t>
  </si>
  <si>
    <t>P1-031</t>
  </si>
  <si>
    <t>Payment gateway integration</t>
  </si>
  <si>
    <t>Securely collect subscription payments and verify callbacks.</t>
  </si>
  <si>
    <t>P1-032</t>
  </si>
  <si>
    <t>Entitlement enforcement</t>
  </si>
  <si>
    <t>Apply plan limits for interests, contact access, chat and search.</t>
  </si>
  <si>
    <t>P1-033</t>
  </si>
  <si>
    <t>Invoices and payment history</t>
  </si>
  <si>
    <t>Show payment status, invoice reference and transaction history.</t>
  </si>
  <si>
    <t>P1-034</t>
  </si>
  <si>
    <t>Admin</t>
  </si>
  <si>
    <t>Admin dashboard</t>
  </si>
  <si>
    <t>Operational KPIs for members, profiles, payments and moderation.</t>
  </si>
  <si>
    <t>P1-035</t>
  </si>
  <si>
    <t>Member management</t>
  </si>
  <si>
    <t>Search, inspect, suspend, activate and soft-delete accounts.</t>
  </si>
  <si>
    <t>P1-036</t>
  </si>
  <si>
    <t>Photo moderation</t>
  </si>
  <si>
    <t>Review and approve/reject member photos.</t>
  </si>
  <si>
    <t>P1-037</t>
  </si>
  <si>
    <t>Reports and abuse moderation</t>
  </si>
  <si>
    <t>Review reports, evidence, actions and moderation history.</t>
  </si>
  <si>
    <t>P1-038</t>
  </si>
  <si>
    <t>Membership and payment administration</t>
  </si>
  <si>
    <t>View plans, transactions, failures, refunds and entitlements.</t>
  </si>
  <si>
    <t>P1-039</t>
  </si>
  <si>
    <t>CMS content management</t>
  </si>
  <si>
    <t>Manage FAQs, policies, help content, banners and success stories.</t>
  </si>
  <si>
    <t>P2-001</t>
  </si>
  <si>
    <t>Phase 2 - Trust &amp; Verification</t>
  </si>
  <si>
    <t>Identity Verification</t>
  </si>
  <si>
    <t>Government ID verification</t>
  </si>
  <si>
    <t>Consent-based verification using approved identity documents and service providers.</t>
  </si>
  <si>
    <t>P2-002</t>
  </si>
  <si>
    <t>Selfie and liveness verification</t>
  </si>
  <si>
    <t>Capture selfie, perform liveness and compare with profile identity.</t>
  </si>
  <si>
    <t>P2-003</t>
  </si>
  <si>
    <t>Employment Verification</t>
  </si>
  <si>
    <t>Employment verification</t>
  </si>
  <si>
    <t>Verify through company email, documents or approved providers.</t>
  </si>
  <si>
    <t>P2-004</t>
  </si>
  <si>
    <t>Education Verification</t>
  </si>
  <si>
    <t>Education verification</t>
  </si>
  <si>
    <t>Verify degree or certificate evidence with moderation workflow.</t>
  </si>
  <si>
    <t>P2-005</t>
  </si>
  <si>
    <t>Marital Status Verification</t>
  </si>
  <si>
    <t>Divorce/widow document verification</t>
  </si>
  <si>
    <t>Optional restricted document verification with strong privacy controls.</t>
  </si>
  <si>
    <t>P2-006</t>
  </si>
  <si>
    <t>Fraud Prevention</t>
  </si>
  <si>
    <t>Duplicate account detection</t>
  </si>
  <si>
    <t>Detect repeated mobile, email, device, image and identity signals.</t>
  </si>
  <si>
    <t>P2-007</t>
  </si>
  <si>
    <t>Fake image and scam detection</t>
  </si>
  <si>
    <t>Flag manipulated, stolen or suspicious images and behaviour.</t>
  </si>
  <si>
    <t>P2-008</t>
  </si>
  <si>
    <t>Trust UX</t>
  </si>
  <si>
    <t>Verification badges and trust score</t>
  </si>
  <si>
    <t>Display clearly defined verification states without misleading guarantees.</t>
  </si>
  <si>
    <t>P3-001</t>
  </si>
  <si>
    <t>Phase 3 - AI Matching</t>
  </si>
  <si>
    <t>Compatibility</t>
  </si>
  <si>
    <t>Compatibility score</t>
  </si>
  <si>
    <t>Calculate explainable compatibility using profile, preference and behavioural signals.</t>
  </si>
  <si>
    <t>P3-002</t>
  </si>
  <si>
    <t>AI match explanation</t>
  </si>
  <si>
    <t>Explain common interests, goals and preference alignment.</t>
  </si>
  <si>
    <t>P3-003</t>
  </si>
  <si>
    <t>Communication</t>
  </si>
  <si>
    <t>AI icebreakers</t>
  </si>
  <si>
    <t>Suggest respectful first-message ideas using safe profile context.</t>
  </si>
  <si>
    <t>P3-004</t>
  </si>
  <si>
    <t>Conversation assistant</t>
  </si>
  <si>
    <t>Suggest optional conversation starters and replies.</t>
  </si>
  <si>
    <t>P3-005</t>
  </si>
  <si>
    <t>Profile Quality</t>
  </si>
  <si>
    <t>AI profile improvement</t>
  </si>
  <si>
    <t>Recommend missing profile fields, better descriptions and photo quality improvements.</t>
  </si>
  <si>
    <t>P4-001</t>
  </si>
  <si>
    <t>Phase 4 - Safety &amp; Privacy</t>
  </si>
  <si>
    <t>Privacy</t>
  </si>
  <si>
    <t>Granular photo visibility</t>
  </si>
  <si>
    <t>Control photo access by all members, accepted members or approved requests.</t>
  </si>
  <si>
    <t>P4-002</t>
  </si>
  <si>
    <t>Phone and contact protection</t>
  </si>
  <si>
    <t>Hide or mask contact details and log every reveal.</t>
  </si>
  <si>
    <t>P4-003</t>
  </si>
  <si>
    <t>Safety</t>
  </si>
  <si>
    <t>Spam and abuse detection</t>
  </si>
  <si>
    <t>Rate-limit and detect spam messaging and repeated unwanted contact.</t>
  </si>
  <si>
    <t>P4-004</t>
  </si>
  <si>
    <t>Women-focused safety controls</t>
  </si>
  <si>
    <t>Allow stricter inbound communication and visibility preferences.</t>
  </si>
  <si>
    <t>P4-005</t>
  </si>
  <si>
    <t>Incognito/private browsing mode</t>
  </si>
  <si>
    <t>Allow eligible members to browse without appearing in profile-view history.</t>
  </si>
  <si>
    <t>P5-001</t>
  </si>
  <si>
    <t>Phase 5 - Premium Features</t>
  </si>
  <si>
    <t>Premium Discovery</t>
  </si>
  <si>
    <t>Profile boost and spotlight</t>
  </si>
  <si>
    <t>Paid temporary ranking and premium visibility features.</t>
  </si>
  <si>
    <t>P5-002</t>
  </si>
  <si>
    <t>Premium Insights</t>
  </si>
  <si>
    <t>Profile analytics</t>
  </si>
  <si>
    <t>Show profile views, interest conversion and engagement metrics.</t>
  </si>
  <si>
    <t>P5-003</t>
  </si>
  <si>
    <t>Premium Messaging</t>
  </si>
  <si>
    <t>Read receipts and premium communication</t>
  </si>
  <si>
    <t>Add eligible messaging insights and priority communication.</t>
  </si>
  <si>
    <t>P5-004</t>
  </si>
  <si>
    <t>Advisory</t>
  </si>
  <si>
    <t>Relationship coach and premium introductions</t>
  </si>
  <si>
    <t>Offer assisted services through qualified human experts.</t>
  </si>
  <si>
    <t>P6-001</t>
  </si>
  <si>
    <t>Phase 6 - Mobile Applications</t>
  </si>
  <si>
    <t>Mobile</t>
  </si>
  <si>
    <t>Android application</t>
  </si>
  <si>
    <t>Native or cross-platform Android application using the same FastAPI backend.</t>
  </si>
  <si>
    <t>P6-002</t>
  </si>
  <si>
    <t>iOS application</t>
  </si>
  <si>
    <t>Native or cross-platform iOS application using the same backend.</t>
  </si>
  <si>
    <t>P6-003</t>
  </si>
  <si>
    <t>Push notifications</t>
  </si>
  <si>
    <t>Secure device registration and configurable push notifications.</t>
  </si>
  <si>
    <t>P6-004</t>
  </si>
  <si>
    <t>Biometric authentication</t>
  </si>
  <si>
    <t>Use device biometric capabilities to unlock an authenticated session.</t>
  </si>
  <si>
    <t>P7-001</t>
  </si>
  <si>
    <t>Phase 7 - Family Accounts</t>
  </si>
  <si>
    <t>Family</t>
  </si>
  <si>
    <t>Parent/guardian managed profile</t>
  </si>
  <si>
    <t>Allow a member profile to be created or managed by an approved family member.</t>
  </si>
  <si>
    <t>P7-002</t>
  </si>
  <si>
    <t>Shared and delegated access</t>
  </si>
  <si>
    <t>Provide explicit roles, permissions and audit history for family access.</t>
  </si>
  <si>
    <t>P7-003</t>
  </si>
  <si>
    <t>Family approval workflow</t>
  </si>
  <si>
    <t>Allow family members to shortlist and approve potential matches.</t>
  </si>
  <si>
    <t>P8-001</t>
  </si>
  <si>
    <t>Phase 8 - Wedding Ecosystem</t>
  </si>
  <si>
    <t>Marketplace</t>
  </si>
  <si>
    <t>Wedding services marketplace</t>
  </si>
  <si>
    <t>List and connect users with venues, photographers, decorators and other providers.</t>
  </si>
  <si>
    <t>P8-002</t>
  </si>
  <si>
    <t>Vendor onboarding and verification</t>
  </si>
  <si>
    <t>Onboard, verify and manage service providers.</t>
  </si>
  <si>
    <t>P8-003</t>
  </si>
  <si>
    <t>Lead and commission tracking</t>
  </si>
  <si>
    <t>Track enquiries, conversions, commissions and vendor settlements.</t>
  </si>
  <si>
    <t>P9-001</t>
  </si>
  <si>
    <t>Phase 9 - Community &amp; Content</t>
  </si>
  <si>
    <t>Content</t>
  </si>
  <si>
    <t>Success stories and editorial content</t>
  </si>
  <si>
    <t>Publish moderated stories, advice, help and educational content.</t>
  </si>
  <si>
    <t>P9-002</t>
  </si>
  <si>
    <t>Community</t>
  </si>
  <si>
    <t>Expert sessions and live events</t>
  </si>
  <si>
    <t>Host safe moderated sessions with counsellors and domain experts.</t>
  </si>
  <si>
    <t>P10-001</t>
  </si>
  <si>
    <t>Phase 10 - AI Marriage Assistant</t>
  </si>
  <si>
    <t>AI Assistant</t>
  </si>
  <si>
    <t>Natural-language profile search</t>
  </si>
  <si>
    <t>Search using requests such as location, profession and family-background criteria.</t>
  </si>
  <si>
    <t>P10-002</t>
  </si>
  <si>
    <t>Profile summarisation</t>
  </si>
  <si>
    <t>Generate privacy-aware summaries of long profiles.</t>
  </si>
  <si>
    <t>P10-003</t>
  </si>
  <si>
    <t>Assisted matchmaking workflow</t>
  </si>
  <si>
    <t>Help members compare and manage suitable profiles with explainable recommendations.</t>
  </si>
  <si>
    <t>Domain</t>
  </si>
  <si>
    <t>Control</t>
  </si>
  <si>
    <t>Implementation / Acceptance Criteria</t>
  </si>
  <si>
    <t>Evidence / Notes</t>
  </si>
  <si>
    <t>SEC-001</t>
  </si>
  <si>
    <t>Transport Security</t>
  </si>
  <si>
    <t>HTTPS only</t>
  </si>
  <si>
    <t>Force HTTPS and redirect all HTTP traffic.</t>
  </si>
  <si>
    <t>SEC-002</t>
  </si>
  <si>
    <t>Authentication</t>
  </si>
  <si>
    <t>JWT access and refresh tokens</t>
  </si>
  <si>
    <t>Use short-lived access tokens and longer-lived refresh tokens.</t>
  </si>
  <si>
    <t>SEC-003</t>
  </si>
  <si>
    <t>Refresh-token rotation and revocation</t>
  </si>
  <si>
    <t>Rotate refresh tokens and revoke used, expired or compromised tokens.</t>
  </si>
  <si>
    <t>SEC-004</t>
  </si>
  <si>
    <t>Secure password hashing</t>
  </si>
  <si>
    <t>Use Argon2id or a carefully maintained bcrypt implementation.</t>
  </si>
  <si>
    <t>SEC-005</t>
  </si>
  <si>
    <t>OTP abuse protection</t>
  </si>
  <si>
    <t>Rate-limit OTP initiation, resend and verification attempts.</t>
  </si>
  <si>
    <t>SEC-006</t>
  </si>
  <si>
    <t>Session Security</t>
  </si>
  <si>
    <t>Secure cookie configuration</t>
  </si>
  <si>
    <t>Use Secure, HttpOnly and appropriate SameSite cookie settings.</t>
  </si>
  <si>
    <t>SEC-007</t>
  </si>
  <si>
    <t>Web Security</t>
  </si>
  <si>
    <t>CSRF protection</t>
  </si>
  <si>
    <t>Protect all state-changing CodeIgniter forms and cookie-authenticated actions.</t>
  </si>
  <si>
    <t>SEC-008</t>
  </si>
  <si>
    <t>API Security</t>
  </si>
  <si>
    <t>Strict CORS allowlist</t>
  </si>
  <si>
    <t>Allow only approved frontend origins and required methods/headers.</t>
  </si>
  <si>
    <t>SEC-009</t>
  </si>
  <si>
    <t>Input Security</t>
  </si>
  <si>
    <t>Pydantic request validation</t>
  </si>
  <si>
    <t>Validate type, length, range and format at API boundaries.</t>
  </si>
  <si>
    <t>SEC-010</t>
  </si>
  <si>
    <t>Database Security</t>
  </si>
  <si>
    <t>Parameterized ORM queries</t>
  </si>
  <si>
    <t>Use SQLAlchemy bound parameters and prohibit string-built SQL.</t>
  </si>
  <si>
    <t>SEC-011</t>
  </si>
  <si>
    <t>Authorization</t>
  </si>
  <si>
    <t>Role-based access control</t>
  </si>
  <si>
    <t>Enforce member, moderator, support and administrator permissions server-side.</t>
  </si>
  <si>
    <t>SEC-012</t>
  </si>
  <si>
    <t>Object-level authorization</t>
  </si>
  <si>
    <t>Verify ownership/permission for every profile, photo, chat and payment operation.</t>
  </si>
  <si>
    <t>SEC-013</t>
  </si>
  <si>
    <t>Admin Security</t>
  </si>
  <si>
    <t>Separate admin authentication and routes</t>
  </si>
  <si>
    <t>Use stronger controls, restrictive access and independent audit trails for administration.</t>
  </si>
  <si>
    <t>SEC-014</t>
  </si>
  <si>
    <t>Audit</t>
  </si>
  <si>
    <t>Immutable security audit logs</t>
  </si>
  <si>
    <t>Record authentication, profile, moderation, payment and admin events.</t>
  </si>
  <si>
    <t>SEC-015</t>
  </si>
  <si>
    <t>Sensitive-data minimisation</t>
  </si>
  <si>
    <t>Collect only required identity, contact and profile information.</t>
  </si>
  <si>
    <t>SEC-016</t>
  </si>
  <si>
    <t>Sensitive-data encryption</t>
  </si>
  <si>
    <t>Encrypt sensitive data at rest and control key access.</t>
  </si>
  <si>
    <t>SEC-017</t>
  </si>
  <si>
    <t>Contact and photo access control</t>
  </si>
  <si>
    <t>Enforce member privacy preferences and log sensitive reveals.</t>
  </si>
  <si>
    <t>SEC-018</t>
  </si>
  <si>
    <t>Media Security</t>
  </si>
  <si>
    <t>Image upload validation</t>
  </si>
  <si>
    <t>Validate MIME type, extension, dimensions and file signatures.</t>
  </si>
  <si>
    <t>SEC-019</t>
  </si>
  <si>
    <t>Malware scanning and safe processing</t>
  </si>
  <si>
    <t>Scan uploads and re-encode images before serving.</t>
  </si>
  <si>
    <t>SEC-020</t>
  </si>
  <si>
    <t>Global rate limiting</t>
  </si>
  <si>
    <t>Apply per-IP, per-user and per-route limits to sensitive APIs.</t>
  </si>
  <si>
    <t>SEC-021</t>
  </si>
  <si>
    <t>Secrets</t>
  </si>
  <si>
    <t>Environment-based secret management</t>
  </si>
  <si>
    <t>Keep secrets outside source control and rotate them periodically.</t>
  </si>
  <si>
    <t>SEC-022</t>
  </si>
  <si>
    <t>Infrastructure</t>
  </si>
  <si>
    <t>Database and Redis private access</t>
  </si>
  <si>
    <t>Do not expose PostgreSQL, Redis or FastAPI directly to the internet.</t>
  </si>
  <si>
    <t>SEC-023</t>
  </si>
  <si>
    <t>Firewall/security-group least privilege</t>
  </si>
  <si>
    <t>Expose only required ports and restrict SSH to trusted sources.</t>
  </si>
  <si>
    <t>SEC-024</t>
  </si>
  <si>
    <t>Security headers</t>
  </si>
  <si>
    <t>Set CSP, HSTS in production, frame, content-type and referrer controls.</t>
  </si>
  <si>
    <t>SEC-025</t>
  </si>
  <si>
    <t>Monitoring</t>
  </si>
  <si>
    <t>Security logging and alerting</t>
  </si>
  <si>
    <t>Alert on brute force, abnormal traffic, privilege changes and repeated failures.</t>
  </si>
  <si>
    <t>SEC-026</t>
  </si>
  <si>
    <t>Backup</t>
  </si>
  <si>
    <t>Encrypted database backups</t>
  </si>
  <si>
    <t>Automate, encrypt, retain and periodically restore-test backups.</t>
  </si>
  <si>
    <t>SEC-027</t>
  </si>
  <si>
    <t>Lifecycle</t>
  </si>
  <si>
    <t>Soft deletion and retention rules</t>
  </si>
  <si>
    <t>Define account deletion, retention and legal-hold behaviour.</t>
  </si>
  <si>
    <t>SEC-028</t>
  </si>
  <si>
    <t>Compliance</t>
  </si>
  <si>
    <t>Privacy policy and consent records</t>
  </si>
  <si>
    <t>Capture policy version, consent timestamp and withdrawal events.</t>
  </si>
  <si>
    <t>SEC-029</t>
  </si>
  <si>
    <t>Dependencies</t>
  </si>
  <si>
    <t>Dependency vulnerability scanning</t>
  </si>
  <si>
    <t>Scan PHP, Python, JavaScript and container dependencies.</t>
  </si>
  <si>
    <t>SEC-030</t>
  </si>
  <si>
    <t>Testing</t>
  </si>
  <si>
    <t>Security test coverage</t>
  </si>
  <si>
    <t>Include auth, authorization, injection, upload and rate-limit tests.</t>
  </si>
  <si>
    <t>Area</t>
  </si>
  <si>
    <t>Practice</t>
  </si>
  <si>
    <t>PERF-001</t>
  </si>
  <si>
    <t>Web Delivery</t>
  </si>
  <si>
    <t>Enable compression</t>
  </si>
  <si>
    <t>Enable gzip or Brotli for compressible HTML, CSS, JS and JSON responses.</t>
  </si>
  <si>
    <t>PERF-002</t>
  </si>
  <si>
    <t>Static Assets</t>
  </si>
  <si>
    <t>Long-lived static asset cache</t>
  </si>
  <si>
    <t>Use versioned filenames and cache-control headers for static assets.</t>
  </si>
  <si>
    <t>PERF-003</t>
  </si>
  <si>
    <t>Media</t>
  </si>
  <si>
    <t>Object storage for profile media</t>
  </si>
  <si>
    <t>Store photos outside the application server and serve through CDN.</t>
  </si>
  <si>
    <t>PERF-004</t>
  </si>
  <si>
    <t>Image resizing and compression</t>
  </si>
  <si>
    <t>Create thumbnails and responsive variants asynchronously.</t>
  </si>
  <si>
    <t>PERF-005</t>
  </si>
  <si>
    <t>API</t>
  </si>
  <si>
    <t>Pagination on list endpoints</t>
  </si>
  <si>
    <t>Require bounded page size and stable sorting for all list/search APIs.</t>
  </si>
  <si>
    <t>PERF-006</t>
  </si>
  <si>
    <t>Avoid over-fetching</t>
  </si>
  <si>
    <t>Return only required fields and avoid expensive nested data by default.</t>
  </si>
  <si>
    <t>PERF-007</t>
  </si>
  <si>
    <t>Database</t>
  </si>
  <si>
    <t>Connection pooling</t>
  </si>
  <si>
    <t>Configure bounded SQLAlchemy pools and connection health checks.</t>
  </si>
  <si>
    <t>PERF-008</t>
  </si>
  <si>
    <t>Search-field indexes</t>
  </si>
  <si>
    <t>Index common filters, foreign keys, statuses and sort columns.</t>
  </si>
  <si>
    <t>PERF-009</t>
  </si>
  <si>
    <t>Query-plan review</t>
  </si>
  <si>
    <t>Use EXPLAIN ANALYZE for expensive search and recommendation queries.</t>
  </si>
  <si>
    <t>PERF-010</t>
  </si>
  <si>
    <t>Prevent N+1 queries</t>
  </si>
  <si>
    <t>Use appropriate eager loading and query batching.</t>
  </si>
  <si>
    <t>PERF-011</t>
  </si>
  <si>
    <t>Cache</t>
  </si>
  <si>
    <t>Redis caching strategy</t>
  </si>
  <si>
    <t>Cache suitable master data, profile summaries and short-lived results.</t>
  </si>
  <si>
    <t>PERF-012</t>
  </si>
  <si>
    <t>Cache invalidation rules</t>
  </si>
  <si>
    <t>Define event-based invalidation and TTL for every cached data type.</t>
  </si>
  <si>
    <t>PERF-013</t>
  </si>
  <si>
    <t>Redis for OTP and rate limits</t>
  </si>
  <si>
    <t>Store expiring OTP and throttling state in Redis.</t>
  </si>
  <si>
    <t>PERF-014</t>
  </si>
  <si>
    <t>Background Processing</t>
  </si>
  <si>
    <t>Move slow tasks to workers</t>
  </si>
  <si>
    <t>Process SMS, email, image conversion and non-critical notifications asynchronously.</t>
  </si>
  <si>
    <t>PERF-015</t>
  </si>
  <si>
    <t>FastAPI</t>
  </si>
  <si>
    <t>Async for I/O-bound operations</t>
  </si>
  <si>
    <t>Use async libraries where they provide a measurable benefit.</t>
  </si>
  <si>
    <t>PERF-016</t>
  </si>
  <si>
    <t>Production worker configuration</t>
  </si>
  <si>
    <t>Run an appropriate number of workers based on CPU and memory measurements.</t>
  </si>
  <si>
    <t>PERF-017</t>
  </si>
  <si>
    <t>PHP</t>
  </si>
  <si>
    <t>OPcache configuration</t>
  </si>
  <si>
    <t>Enable and tune PHP OPcache in QA and production.</t>
  </si>
  <si>
    <t>PERF-018</t>
  </si>
  <si>
    <t>API client timeouts and retries</t>
  </si>
  <si>
    <t>Set short connection/read timeouts and retry only safe transient failures.</t>
  </si>
  <si>
    <t>PERF-019</t>
  </si>
  <si>
    <t>Search</t>
  </si>
  <si>
    <t>Search architecture evolution</t>
  </si>
  <si>
    <t>Start with PostgreSQL search and define thresholds for OpenSearch adoption.</t>
  </si>
  <si>
    <t>PERF-020</t>
  </si>
  <si>
    <t>Observability</t>
  </si>
  <si>
    <t>Request timing and slow-query logging</t>
  </si>
  <si>
    <t>Record API duration, status and slow database queries.</t>
  </si>
  <si>
    <t>PERF-021</t>
  </si>
  <si>
    <t>Resource monitoring</t>
  </si>
  <si>
    <t>Monitor CPU, memory, disk, network, database and Redis metrics.</t>
  </si>
  <si>
    <t>PERF-022</t>
  </si>
  <si>
    <t>Load and stress testing</t>
  </si>
  <si>
    <t>Test registration, search, profile view, interest and chat workloads.</t>
  </si>
  <si>
    <t>PERF-023</t>
  </si>
  <si>
    <t>Capacity</t>
  </si>
  <si>
    <t>Define performance SLOs</t>
  </si>
  <si>
    <t>Set measurable response-time, throughput and error-rate objectives.</t>
  </si>
  <si>
    <t>PERF-024</t>
  </si>
  <si>
    <t>Reliability</t>
  </si>
  <si>
    <t>Graceful timeout and failure handling</t>
  </si>
  <si>
    <t>Return safe failures when database, Redis, SMS or payment dependencies degrade.</t>
  </si>
  <si>
    <t>PERF-025</t>
  </si>
  <si>
    <t>Archive and retention strategy</t>
  </si>
  <si>
    <t>Prevent operational tables and logs from growing without bounds.</t>
  </si>
  <si>
    <t>Order</t>
  </si>
  <si>
    <t>Environment</t>
  </si>
  <si>
    <t>Deployment Step</t>
  </si>
  <si>
    <t>Expected Outcome</t>
  </si>
  <si>
    <t>Depends On</t>
  </si>
  <si>
    <t>Local</t>
  </si>
  <si>
    <t>Install WSL2 Ubuntu 22.04</t>
  </si>
  <si>
    <t>Create Linux development environment on Windows.</t>
  </si>
  <si>
    <t>Install Nginx, PHP 8.3, PHP-FPM and Composer</t>
  </si>
  <si>
    <t>Prepare CodeIgniter runtime without using Spark.</t>
  </si>
  <si>
    <t>1</t>
  </si>
  <si>
    <t>Install CodeIgniter 4 frontend</t>
  </si>
  <si>
    <t>Install under frontend and expose only frontend/public.</t>
  </si>
  <si>
    <t>2</t>
  </si>
  <si>
    <t>Install Python 3.12 and virtual environment</t>
  </si>
  <si>
    <t>Create isolated backend environment.</t>
  </si>
  <si>
    <t>Install FastAPI dependencies</t>
  </si>
  <si>
    <t>Install and freeze backend dependencies.</t>
  </si>
  <si>
    <t>4</t>
  </si>
  <si>
    <t>Install PostgreSQL 16 and create development DB</t>
  </si>
  <si>
    <t>Create application role, database and validate login.</t>
  </si>
  <si>
    <t>Install Redis</t>
  </si>
  <si>
    <t>Run Redis locally and verify PONG.</t>
  </si>
  <si>
    <t>Configure local domains and hosts file</t>
  </si>
  <si>
    <t>Configure frontend and API local DNS entries.</t>
  </si>
  <si>
    <t>2,5</t>
  </si>
  <si>
    <t>Configure mkcert local SSL</t>
  </si>
  <si>
    <t>Create trusted development certificate for both local domains.</t>
  </si>
  <si>
    <t>8</t>
  </si>
  <si>
    <t>Configure Nginx HTTPS virtual hosts</t>
  </si>
  <si>
    <t>Serve CodeIgniter and reverse-proxy FastAPI.</t>
  </si>
  <si>
    <t>3,5,9</t>
  </si>
  <si>
    <t>Configure backend environment and database connectivity</t>
  </si>
  <si>
    <t>Create .env and database health check.</t>
  </si>
  <si>
    <t>5,6</t>
  </si>
  <si>
    <t>Configure Redis connectivity</t>
  </si>
  <si>
    <t>Add Redis health check and verify backend integration.</t>
  </si>
  <si>
    <t>5,7</t>
  </si>
  <si>
    <t>Source Control</t>
  </si>
  <si>
    <t>Create monorepo baseline</t>
  </si>
  <si>
    <t>Commit frontend, backend, deployment configuration and master README.</t>
  </si>
  <si>
    <t>3,5</t>
  </si>
  <si>
    <t>Configure branches and pull-request flow</t>
  </si>
  <si>
    <t>Establish develop, QA and production promotion workflow.</t>
  </si>
  <si>
    <t>13</t>
  </si>
  <si>
    <t>Quality</t>
  </si>
  <si>
    <t>Add linting, unit tests and integration tests</t>
  </si>
  <si>
    <t>Create automated checks for PHP and Python code.</t>
  </si>
  <si>
    <t>QA</t>
  </si>
  <si>
    <t>Create isolated QA AWS environment</t>
  </si>
  <si>
    <t>Use a separate account/VPC/resources or strong environment isolation.</t>
  </si>
  <si>
    <t>14</t>
  </si>
  <si>
    <t>Configure QA DNS and TLS</t>
  </si>
  <si>
    <t>Use real QA domains and trusted certificates.</t>
  </si>
  <si>
    <t>16</t>
  </si>
  <si>
    <t>Deploy frontend and backend services</t>
  </si>
  <si>
    <t>Deploy CodeIgniter and FastAPI with repeatable service definitions.</t>
  </si>
  <si>
    <t>16,17</t>
  </si>
  <si>
    <t>Provision QA PostgreSQL and Redis</t>
  </si>
  <si>
    <t>Use isolated QA database and cache; keep both private.</t>
  </si>
  <si>
    <t>Configure object storage for profile media</t>
  </si>
  <si>
    <t>Use separate QA bucket and least-privilege credentials.</t>
  </si>
  <si>
    <t>Configure CI/CD to QA</t>
  </si>
  <si>
    <t>Run tests and deploy the QA branch automatically.</t>
  </si>
  <si>
    <t>14,15,18</t>
  </si>
  <si>
    <t>Add monitoring, logs and alerts</t>
  </si>
  <si>
    <t>Centralise logs and monitor service health and resources.</t>
  </si>
  <si>
    <t>18,19</t>
  </si>
  <si>
    <t>Run security, performance and UAT testing</t>
  </si>
  <si>
    <t>Complete acceptance testing before production release.</t>
  </si>
  <si>
    <t>21,22</t>
  </si>
  <si>
    <t>Production</t>
  </si>
  <si>
    <t>Design production network and security groups</t>
  </si>
  <si>
    <t>Private database/cache, restricted SSH and public HTTPS only.</t>
  </si>
  <si>
    <t>23</t>
  </si>
  <si>
    <t>Provision production application compute</t>
  </si>
  <si>
    <t>Start with right-sized EC2 and keep migration path to load balancing/autoscaling.</t>
  </si>
  <si>
    <t>24</t>
  </si>
  <si>
    <t>Provision managed PostgreSQL</t>
  </si>
  <si>
    <t>Use RDS PostgreSQL with backups, encryption and Multi-AZ when required.</t>
  </si>
  <si>
    <t>Provision managed Redis</t>
  </si>
  <si>
    <t>Use ElastiCache when justified by load and operational requirements.</t>
  </si>
  <si>
    <t>Provision S3 and CDN for media</t>
  </si>
  <si>
    <t>Use private object storage, signed access and CloudFront.</t>
  </si>
  <si>
    <t>Configure production DNS and TLS</t>
  </si>
  <si>
    <t>Use Route 53/Cloudflare and trusted certificates.</t>
  </si>
  <si>
    <t>25</t>
  </si>
  <si>
    <t>Deploy hardened frontend and backend</t>
  </si>
  <si>
    <t>Disable debug, optimise dependencies and run production workers.</t>
  </si>
  <si>
    <t>25,26,27,29</t>
  </si>
  <si>
    <t>Configure secrets and access management</t>
  </si>
  <si>
    <t>Use environment-specific secrets and least-privilege IAM.</t>
  </si>
  <si>
    <t>Configure automated backups and restore tests</t>
  </si>
  <si>
    <t>Validate database, media and configuration recovery.</t>
  </si>
  <si>
    <t>26,28</t>
  </si>
  <si>
    <t>Configure production CI/CD with approval</t>
  </si>
  <si>
    <t>Deploy tagged or approved main-branch releases.</t>
  </si>
  <si>
    <t>21,30</t>
  </si>
  <si>
    <t>Configure monitoring and incident alerts</t>
  </si>
  <si>
    <t>Monitor availability, latency, errors, security and capacity.</t>
  </si>
  <si>
    <t>30</t>
  </si>
  <si>
    <t>Conduct go-live readiness review</t>
  </si>
  <si>
    <t>Security, performance, backup, rollback and business sign-off.</t>
  </si>
  <si>
    <t>23,32,34</t>
  </si>
  <si>
    <t>Release MVP and monitor closely</t>
  </si>
  <si>
    <t>Use controlled rollout and post-release validation.</t>
  </si>
  <si>
    <t>35</t>
  </si>
  <si>
    <t>Matrimony Product Roadmap &amp; Delivery Tracker</t>
  </si>
  <si>
    <t>Metric</t>
  </si>
  <si>
    <t>Value</t>
  </si>
  <si>
    <t>Roadmap Items</t>
  </si>
  <si>
    <t>Product Roadmap</t>
  </si>
  <si>
    <t>Security Controls</t>
  </si>
  <si>
    <t>Security</t>
  </si>
  <si>
    <t>Performance Controls</t>
  </si>
  <si>
    <t>Performance</t>
  </si>
  <si>
    <t>Deployment Steps</t>
  </si>
  <si>
    <t>Deployment</t>
  </si>
  <si>
    <t>How to use: Update the Status column on each tracker sheet using the dropdown. Use Owner and Notes/Evidence for accountability. Dashboard counts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</si>
</sst>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ptos"/>
      <family val="2"/>
    </font>
    <font>
      <sz val="11"/>
      <name val="Aptos"/>
      <family val="2"/>
    </font>
    <font>
      <b/>
      <sz val="18"/>
      <color rgb="FFFFFFFF"/>
      <name val="Aptos"/>
      <family val="2"/>
    </font>
    <font>
      <i/>
      <sz val="11"/>
      <color rgb="FF1F1F1F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wrapText="1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</cellXfs>
  <cellStyles count="1">
    <cellStyle name="Normal" xfId="0" builtinId="0"/>
  </cellStyles>
  <dxfs count="61"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Delivery Status by Area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Done</c:v>
          </c:tx>
          <c:invertIfNegative val="1"/>
          <c:cat>
            <c:strRef>
              <c:f>Dashboard!$D$5:$D$8</c:f>
              <c:strCache>
                <c:ptCount val="4"/>
                <c:pt idx="0">
                  <c:v>Product Roadmap</c:v>
                </c:pt>
                <c:pt idx="1">
                  <c:v>Security</c:v>
                </c:pt>
                <c:pt idx="2">
                  <c:v>Performance</c:v>
                </c:pt>
                <c:pt idx="3">
                  <c:v>Deployment</c:v>
                </c:pt>
              </c:strCache>
            </c:strRef>
          </c:cat>
          <c:val>
            <c:numRef>
              <c:f>Dashboard!$E$5:$E$8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E-4755-B11E-64A073217E6C}"/>
            </c:ext>
          </c:extLst>
        </c:ser>
        <c:ser>
          <c:idx val="1"/>
          <c:order val="1"/>
          <c:tx>
            <c:v>In Progress</c:v>
          </c:tx>
          <c:invertIfNegative val="1"/>
          <c:cat>
            <c:strRef>
              <c:f>Dashboard!$D$5:$D$8</c:f>
              <c:strCache>
                <c:ptCount val="4"/>
                <c:pt idx="0">
                  <c:v>Product Roadmap</c:v>
                </c:pt>
                <c:pt idx="1">
                  <c:v>Security</c:v>
                </c:pt>
                <c:pt idx="2">
                  <c:v>Performance</c:v>
                </c:pt>
                <c:pt idx="3">
                  <c:v>Deployment</c:v>
                </c:pt>
              </c:strCache>
            </c:strRef>
          </c:cat>
          <c:val>
            <c:numRef>
              <c:f>Dashboard!$F$5:$F$8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E-4755-B11E-64A073217E6C}"/>
            </c:ext>
          </c:extLst>
        </c:ser>
        <c:ser>
          <c:idx val="2"/>
          <c:order val="2"/>
          <c:tx>
            <c:v>Not Started</c:v>
          </c:tx>
          <c:invertIfNegative val="1"/>
          <c:cat>
            <c:strRef>
              <c:f>Dashboard!$D$5:$D$8</c:f>
              <c:strCache>
                <c:ptCount val="4"/>
                <c:pt idx="0">
                  <c:v>Product Roadmap</c:v>
                </c:pt>
                <c:pt idx="1">
                  <c:v>Security</c:v>
                </c:pt>
                <c:pt idx="2">
                  <c:v>Performance</c:v>
                </c:pt>
                <c:pt idx="3">
                  <c:v>Deployment</c:v>
                </c:pt>
              </c:strCache>
            </c:strRef>
          </c:cat>
          <c:val>
            <c:numRef>
              <c:f>Dashboard!$G$5:$G$8</c:f>
              <c:numCache>
                <c:formatCode>General</c:formatCode>
                <c:ptCount val="4"/>
                <c:pt idx="0">
                  <c:v>76</c:v>
                </c:pt>
                <c:pt idx="1">
                  <c:v>30</c:v>
                </c:pt>
                <c:pt idx="2">
                  <c:v>25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6E-4755-B11E-64A073217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RoadmapTable" displayName="ProductRoadmapTable" ref="A1:K77" headerRowDxfId="37" dataDxfId="35" totalsRowDxfId="36">
  <tableColumns count="11">
    <tableColumn id="1" xr3:uid="{00000000-0010-0000-0000-000001000000}" name="ID" dataDxfId="48"/>
    <tableColumn id="2" xr3:uid="{00000000-0010-0000-0000-000002000000}" name="Phase" dataDxfId="47"/>
    <tableColumn id="3" xr3:uid="{00000000-0010-0000-0000-000003000000}" name="Module" dataDxfId="46"/>
    <tableColumn id="4" xr3:uid="{00000000-0010-0000-0000-000004000000}" name="Item" dataDxfId="45"/>
    <tableColumn id="5" xr3:uid="{00000000-0010-0000-0000-000005000000}" name="Description / Acceptance Outcome" dataDxfId="44"/>
    <tableColumn id="6" xr3:uid="{00000000-0010-0000-0000-000006000000}" name="Priority" dataDxfId="43"/>
    <tableColumn id="7" xr3:uid="{00000000-0010-0000-0000-000007000000}" name="Target Release" dataDxfId="42"/>
    <tableColumn id="8" xr3:uid="{00000000-0010-0000-0000-000008000000}" name="Dependency" dataDxfId="41"/>
    <tableColumn id="9" xr3:uid="{00000000-0010-0000-0000-000009000000}" name="Status" dataDxfId="40"/>
    <tableColumn id="10" xr3:uid="{00000000-0010-0000-0000-00000A000000}" name="Owner" dataDxfId="39"/>
    <tableColumn id="11" xr3:uid="{00000000-0010-0000-0000-00000B000000}" name="Notes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curityChecklistTable" displayName="SecurityChecklistTable" ref="A1:I31" headerRowDxfId="25" dataDxfId="23" totalsRowDxfId="24">
  <tableColumns count="9">
    <tableColumn id="1" xr3:uid="{00000000-0010-0000-0100-000001000000}" name="ID" dataDxfId="34"/>
    <tableColumn id="2" xr3:uid="{00000000-0010-0000-0100-000002000000}" name="Domain" dataDxfId="33"/>
    <tableColumn id="3" xr3:uid="{00000000-0010-0000-0100-000003000000}" name="Control" dataDxfId="32"/>
    <tableColumn id="4" xr3:uid="{00000000-0010-0000-0100-000004000000}" name="Implementation / Acceptance Criteria" dataDxfId="31"/>
    <tableColumn id="5" xr3:uid="{00000000-0010-0000-0100-000005000000}" name="Priority" dataDxfId="30"/>
    <tableColumn id="6" xr3:uid="{00000000-0010-0000-0100-000006000000}" name="Target Release" dataDxfId="29"/>
    <tableColumn id="7" xr3:uid="{00000000-0010-0000-0100-000007000000}" name="Status" dataDxfId="28"/>
    <tableColumn id="8" xr3:uid="{00000000-0010-0000-0100-000008000000}" name="Owner" dataDxfId="27"/>
    <tableColumn id="9" xr3:uid="{00000000-0010-0000-0100-000009000000}" name="Evidence / Notes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formanceChecklistTable" displayName="PerformanceChecklistTable" ref="A1:I26" headerRowDxfId="13" dataDxfId="11" totalsRowDxfId="12">
  <tableColumns count="9">
    <tableColumn id="1" xr3:uid="{00000000-0010-0000-0200-000001000000}" name="ID" dataDxfId="22"/>
    <tableColumn id="2" xr3:uid="{00000000-0010-0000-0200-000002000000}" name="Area" dataDxfId="21"/>
    <tableColumn id="3" xr3:uid="{00000000-0010-0000-0200-000003000000}" name="Practice" dataDxfId="20"/>
    <tableColumn id="4" xr3:uid="{00000000-0010-0000-0200-000004000000}" name="Implementation / Acceptance Criteria" dataDxfId="19"/>
    <tableColumn id="5" xr3:uid="{00000000-0010-0000-0200-000005000000}" name="Priority" dataDxfId="18"/>
    <tableColumn id="6" xr3:uid="{00000000-0010-0000-0200-000006000000}" name="Target Release" dataDxfId="17"/>
    <tableColumn id="7" xr3:uid="{00000000-0010-0000-0200-000007000000}" name="Status" dataDxfId="16"/>
    <tableColumn id="8" xr3:uid="{00000000-0010-0000-0200-000008000000}" name="Owner" dataDxfId="15"/>
    <tableColumn id="9" xr3:uid="{00000000-0010-0000-0200-000009000000}" name="Evidence / Note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VPDeploymentTable" displayName="MVPDeploymentTable" ref="A1:H37" headerRowDxfId="2" dataDxfId="0" totalsRowDxfId="1">
  <tableColumns count="8">
    <tableColumn id="1" xr3:uid="{00000000-0010-0000-0300-000001000000}" name="Order" dataDxfId="10"/>
    <tableColumn id="2" xr3:uid="{00000000-0010-0000-0300-000002000000}" name="Environment" dataDxfId="9"/>
    <tableColumn id="3" xr3:uid="{00000000-0010-0000-0300-000003000000}" name="Deployment Step" dataDxfId="8"/>
    <tableColumn id="4" xr3:uid="{00000000-0010-0000-0300-000004000000}" name="Expected Outcome" dataDxfId="7"/>
    <tableColumn id="5" xr3:uid="{00000000-0010-0000-0300-000005000000}" name="Depends On" dataDxfId="6"/>
    <tableColumn id="6" xr3:uid="{00000000-0010-0000-0300-000006000000}" name="Status" dataDxfId="5"/>
    <tableColumn id="7" xr3:uid="{00000000-0010-0000-0300-000007000000}" name="Owner" dataDxfId="4"/>
    <tableColumn id="8" xr3:uid="{00000000-0010-0000-0300-000008000000}" name="Not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XFD1048576"/>
    </sheetView>
  </sheetViews>
  <sheetFormatPr defaultRowHeight="14.4"/>
  <cols>
    <col min="1" max="3" width="18" style="4" customWidth="1"/>
    <col min="4" max="16384" width="8.796875" style="4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5" t="s">
        <v>3</v>
      </c>
      <c r="B2" s="4" t="s">
        <v>4</v>
      </c>
      <c r="C2" s="6" t="s">
        <v>5</v>
      </c>
    </row>
    <row r="3" spans="1:3">
      <c r="A3" s="5" t="s">
        <v>6</v>
      </c>
      <c r="B3" s="4" t="s">
        <v>7</v>
      </c>
      <c r="C3" s="6" t="s">
        <v>8</v>
      </c>
    </row>
    <row r="4" spans="1:3">
      <c r="A4" s="5" t="s">
        <v>9</v>
      </c>
      <c r="B4" s="4" t="s">
        <v>10</v>
      </c>
      <c r="C4" s="6" t="s">
        <v>11</v>
      </c>
    </row>
    <row r="5" spans="1:3">
      <c r="A5" s="5" t="s">
        <v>12</v>
      </c>
      <c r="B5" s="4" t="s">
        <v>13</v>
      </c>
      <c r="C5" s="6" t="s">
        <v>14</v>
      </c>
    </row>
    <row r="6" spans="1:3">
      <c r="A6" s="7" t="s">
        <v>15</v>
      </c>
      <c r="B6" s="8"/>
      <c r="C6" s="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>
      <selection sqref="A1:XFD1048576"/>
    </sheetView>
  </sheetViews>
  <sheetFormatPr defaultRowHeight="14.4"/>
  <cols>
    <col min="1" max="1" width="7.5" style="11" bestFit="1" customWidth="1"/>
    <col min="2" max="2" width="24.5" style="11" bestFit="1" customWidth="1"/>
    <col min="3" max="3" width="21.3984375" style="11" bestFit="1" customWidth="1"/>
    <col min="4" max="4" width="30" style="11" customWidth="1"/>
    <col min="5" max="5" width="47.8984375" style="11" bestFit="1" customWidth="1"/>
    <col min="6" max="6" width="7.09765625" style="11" bestFit="1" customWidth="1"/>
    <col min="7" max="7" width="13" style="11" bestFit="1" customWidth="1"/>
    <col min="8" max="8" width="11.296875" style="11" bestFit="1" customWidth="1"/>
    <col min="9" max="9" width="9.8984375" style="11" bestFit="1" customWidth="1"/>
    <col min="10" max="10" width="6.296875" style="11" bestFit="1" customWidth="1"/>
    <col min="11" max="11" width="5.69921875" style="11" bestFit="1" customWidth="1"/>
    <col min="12" max="16384" width="8.796875" style="11"/>
  </cols>
  <sheetData>
    <row r="1" spans="1:11" ht="27.15" customHeight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1</v>
      </c>
      <c r="G1" s="10" t="s">
        <v>22</v>
      </c>
      <c r="H1" s="10" t="s">
        <v>23</v>
      </c>
      <c r="I1" s="10" t="s">
        <v>0</v>
      </c>
      <c r="J1" s="10" t="s">
        <v>24</v>
      </c>
      <c r="K1" s="10" t="s">
        <v>25</v>
      </c>
    </row>
    <row r="2" spans="1:11" ht="28.8">
      <c r="A2" s="12" t="s">
        <v>26</v>
      </c>
      <c r="B2" s="12" t="s">
        <v>27</v>
      </c>
      <c r="C2" s="12" t="s">
        <v>28</v>
      </c>
      <c r="D2" s="12" t="s">
        <v>29</v>
      </c>
      <c r="E2" s="12" t="s">
        <v>30</v>
      </c>
      <c r="F2" s="12" t="s">
        <v>4</v>
      </c>
      <c r="G2" s="12" t="s">
        <v>5</v>
      </c>
      <c r="H2" s="12"/>
      <c r="I2" s="12" t="s">
        <v>3</v>
      </c>
      <c r="J2" s="12"/>
      <c r="K2" s="12"/>
    </row>
    <row r="3" spans="1:11" ht="28.8">
      <c r="A3" s="12" t="s">
        <v>31</v>
      </c>
      <c r="B3" s="12" t="s">
        <v>27</v>
      </c>
      <c r="C3" s="12" t="s">
        <v>28</v>
      </c>
      <c r="D3" s="12" t="s">
        <v>32</v>
      </c>
      <c r="E3" s="12" t="s">
        <v>33</v>
      </c>
      <c r="F3" s="12" t="s">
        <v>7</v>
      </c>
      <c r="G3" s="12" t="s">
        <v>5</v>
      </c>
      <c r="H3" s="12" t="s">
        <v>26</v>
      </c>
      <c r="I3" s="12" t="s">
        <v>3</v>
      </c>
      <c r="J3" s="12"/>
      <c r="K3" s="12"/>
    </row>
    <row r="4" spans="1:11" ht="28.8">
      <c r="A4" s="12" t="s">
        <v>34</v>
      </c>
      <c r="B4" s="12" t="s">
        <v>27</v>
      </c>
      <c r="C4" s="12" t="s">
        <v>28</v>
      </c>
      <c r="D4" s="12" t="s">
        <v>35</v>
      </c>
      <c r="E4" s="12" t="s">
        <v>36</v>
      </c>
      <c r="F4" s="12" t="s">
        <v>10</v>
      </c>
      <c r="G4" s="12" t="s">
        <v>5</v>
      </c>
      <c r="H4" s="12" t="s">
        <v>26</v>
      </c>
      <c r="I4" s="12" t="s">
        <v>3</v>
      </c>
      <c r="J4" s="12"/>
      <c r="K4" s="12"/>
    </row>
    <row r="5" spans="1:11" ht="28.8">
      <c r="A5" s="12" t="s">
        <v>37</v>
      </c>
      <c r="B5" s="12" t="s">
        <v>27</v>
      </c>
      <c r="C5" s="12" t="s">
        <v>28</v>
      </c>
      <c r="D5" s="12" t="s">
        <v>38</v>
      </c>
      <c r="E5" s="12" t="s">
        <v>39</v>
      </c>
      <c r="F5" s="12" t="s">
        <v>4</v>
      </c>
      <c r="G5" s="12" t="s">
        <v>5</v>
      </c>
      <c r="H5" s="12" t="s">
        <v>26</v>
      </c>
      <c r="I5" s="12" t="s">
        <v>3</v>
      </c>
      <c r="J5" s="12"/>
      <c r="K5" s="12"/>
    </row>
    <row r="6" spans="1:11" ht="28.8">
      <c r="A6" s="12" t="s">
        <v>40</v>
      </c>
      <c r="B6" s="12" t="s">
        <v>27</v>
      </c>
      <c r="C6" s="12" t="s">
        <v>28</v>
      </c>
      <c r="D6" s="12" t="s">
        <v>41</v>
      </c>
      <c r="E6" s="12" t="s">
        <v>42</v>
      </c>
      <c r="F6" s="12" t="s">
        <v>7</v>
      </c>
      <c r="G6" s="12" t="s">
        <v>5</v>
      </c>
      <c r="H6" s="12" t="s">
        <v>31</v>
      </c>
      <c r="I6" s="12" t="s">
        <v>3</v>
      </c>
      <c r="J6" s="12"/>
      <c r="K6" s="12"/>
    </row>
    <row r="7" spans="1:11" ht="28.8">
      <c r="A7" s="12" t="s">
        <v>43</v>
      </c>
      <c r="B7" s="12" t="s">
        <v>27</v>
      </c>
      <c r="C7" s="12" t="s">
        <v>44</v>
      </c>
      <c r="D7" s="12" t="s">
        <v>45</v>
      </c>
      <c r="E7" s="12" t="s">
        <v>46</v>
      </c>
      <c r="F7" s="12" t="s">
        <v>4</v>
      </c>
      <c r="G7" s="12" t="s">
        <v>5</v>
      </c>
      <c r="H7" s="12" t="s">
        <v>26</v>
      </c>
      <c r="I7" s="12" t="s">
        <v>3</v>
      </c>
      <c r="J7" s="12"/>
      <c r="K7" s="12"/>
    </row>
    <row r="8" spans="1:11">
      <c r="A8" s="12" t="s">
        <v>47</v>
      </c>
      <c r="B8" s="12" t="s">
        <v>27</v>
      </c>
      <c r="C8" s="12" t="s">
        <v>44</v>
      </c>
      <c r="D8" s="12" t="s">
        <v>48</v>
      </c>
      <c r="E8" s="12" t="s">
        <v>49</v>
      </c>
      <c r="F8" s="12" t="s">
        <v>7</v>
      </c>
      <c r="G8" s="12" t="s">
        <v>5</v>
      </c>
      <c r="H8" s="12" t="s">
        <v>43</v>
      </c>
      <c r="I8" s="12" t="s">
        <v>3</v>
      </c>
      <c r="J8" s="12"/>
      <c r="K8" s="12"/>
    </row>
    <row r="9" spans="1:11">
      <c r="A9" s="12" t="s">
        <v>50</v>
      </c>
      <c r="B9" s="12" t="s">
        <v>27</v>
      </c>
      <c r="C9" s="12" t="s">
        <v>44</v>
      </c>
      <c r="D9" s="12" t="s">
        <v>51</v>
      </c>
      <c r="E9" s="12" t="s">
        <v>52</v>
      </c>
      <c r="F9" s="12" t="s">
        <v>7</v>
      </c>
      <c r="G9" s="12" t="s">
        <v>5</v>
      </c>
      <c r="H9" s="12" t="s">
        <v>43</v>
      </c>
      <c r="I9" s="12" t="s">
        <v>3</v>
      </c>
      <c r="J9" s="12"/>
      <c r="K9" s="12"/>
    </row>
    <row r="10" spans="1:11">
      <c r="A10" s="12" t="s">
        <v>53</v>
      </c>
      <c r="B10" s="12" t="s">
        <v>27</v>
      </c>
      <c r="C10" s="12" t="s">
        <v>44</v>
      </c>
      <c r="D10" s="12" t="s">
        <v>54</v>
      </c>
      <c r="E10" s="12" t="s">
        <v>55</v>
      </c>
      <c r="F10" s="12" t="s">
        <v>7</v>
      </c>
      <c r="G10" s="12" t="s">
        <v>5</v>
      </c>
      <c r="H10" s="12" t="s">
        <v>43</v>
      </c>
      <c r="I10" s="12" t="s">
        <v>3</v>
      </c>
      <c r="J10" s="12"/>
      <c r="K10" s="12"/>
    </row>
    <row r="11" spans="1:11">
      <c r="A11" s="12" t="s">
        <v>56</v>
      </c>
      <c r="B11" s="12" t="s">
        <v>27</v>
      </c>
      <c r="C11" s="12" t="s">
        <v>44</v>
      </c>
      <c r="D11" s="12" t="s">
        <v>57</v>
      </c>
      <c r="E11" s="12" t="s">
        <v>58</v>
      </c>
      <c r="F11" s="12" t="s">
        <v>7</v>
      </c>
      <c r="G11" s="12" t="s">
        <v>5</v>
      </c>
      <c r="H11" s="12" t="s">
        <v>43</v>
      </c>
      <c r="I11" s="12" t="s">
        <v>3</v>
      </c>
      <c r="J11" s="12"/>
      <c r="K11" s="12"/>
    </row>
    <row r="12" spans="1:11">
      <c r="A12" s="12" t="s">
        <v>59</v>
      </c>
      <c r="B12" s="12" t="s">
        <v>27</v>
      </c>
      <c r="C12" s="12" t="s">
        <v>44</v>
      </c>
      <c r="D12" s="12" t="s">
        <v>60</v>
      </c>
      <c r="E12" s="12" t="s">
        <v>61</v>
      </c>
      <c r="F12" s="12" t="s">
        <v>10</v>
      </c>
      <c r="G12" s="12" t="s">
        <v>5</v>
      </c>
      <c r="H12" s="12" t="s">
        <v>43</v>
      </c>
      <c r="I12" s="12" t="s">
        <v>3</v>
      </c>
      <c r="J12" s="12"/>
      <c r="K12" s="12"/>
    </row>
    <row r="13" spans="1:11">
      <c r="A13" s="12" t="s">
        <v>62</v>
      </c>
      <c r="B13" s="12" t="s">
        <v>27</v>
      </c>
      <c r="C13" s="12" t="s">
        <v>44</v>
      </c>
      <c r="D13" s="12" t="s">
        <v>63</v>
      </c>
      <c r="E13" s="12" t="s">
        <v>64</v>
      </c>
      <c r="F13" s="12" t="s">
        <v>4</v>
      </c>
      <c r="G13" s="12" t="s">
        <v>5</v>
      </c>
      <c r="H13" s="12" t="s">
        <v>43</v>
      </c>
      <c r="I13" s="12" t="s">
        <v>3</v>
      </c>
      <c r="J13" s="12"/>
      <c r="K13" s="12"/>
    </row>
    <row r="14" spans="1:11">
      <c r="A14" s="12" t="s">
        <v>65</v>
      </c>
      <c r="B14" s="12" t="s">
        <v>27</v>
      </c>
      <c r="C14" s="12" t="s">
        <v>44</v>
      </c>
      <c r="D14" s="12" t="s">
        <v>66</v>
      </c>
      <c r="E14" s="12" t="s">
        <v>67</v>
      </c>
      <c r="F14" s="12" t="s">
        <v>10</v>
      </c>
      <c r="G14" s="12" t="s">
        <v>5</v>
      </c>
      <c r="H14" s="12" t="s">
        <v>43</v>
      </c>
      <c r="I14" s="12" t="s">
        <v>3</v>
      </c>
      <c r="J14" s="12"/>
      <c r="K14" s="12"/>
    </row>
    <row r="15" spans="1:11" ht="28.8">
      <c r="A15" s="12" t="s">
        <v>68</v>
      </c>
      <c r="B15" s="12" t="s">
        <v>27</v>
      </c>
      <c r="C15" s="12" t="s">
        <v>44</v>
      </c>
      <c r="D15" s="12" t="s">
        <v>69</v>
      </c>
      <c r="E15" s="12" t="s">
        <v>70</v>
      </c>
      <c r="F15" s="12" t="s">
        <v>4</v>
      </c>
      <c r="G15" s="12" t="s">
        <v>5</v>
      </c>
      <c r="H15" s="12" t="s">
        <v>43</v>
      </c>
      <c r="I15" s="12" t="s">
        <v>3</v>
      </c>
      <c r="J15" s="12"/>
      <c r="K15" s="12"/>
    </row>
    <row r="16" spans="1:11" ht="28.8">
      <c r="A16" s="12" t="s">
        <v>71</v>
      </c>
      <c r="B16" s="12" t="s">
        <v>27</v>
      </c>
      <c r="C16" s="12" t="s">
        <v>44</v>
      </c>
      <c r="D16" s="12" t="s">
        <v>72</v>
      </c>
      <c r="E16" s="12" t="s">
        <v>73</v>
      </c>
      <c r="F16" s="12" t="s">
        <v>10</v>
      </c>
      <c r="G16" s="12" t="s">
        <v>5</v>
      </c>
      <c r="H16" s="12" t="s">
        <v>43</v>
      </c>
      <c r="I16" s="12" t="s">
        <v>3</v>
      </c>
      <c r="J16" s="12"/>
      <c r="K16" s="12"/>
    </row>
    <row r="17" spans="1:11" ht="28.8">
      <c r="A17" s="12" t="s">
        <v>74</v>
      </c>
      <c r="B17" s="12" t="s">
        <v>27</v>
      </c>
      <c r="C17" s="12" t="s">
        <v>75</v>
      </c>
      <c r="D17" s="12" t="s">
        <v>76</v>
      </c>
      <c r="E17" s="12" t="s">
        <v>77</v>
      </c>
      <c r="F17" s="12" t="s">
        <v>4</v>
      </c>
      <c r="G17" s="12" t="s">
        <v>5</v>
      </c>
      <c r="H17" s="12" t="s">
        <v>43</v>
      </c>
      <c r="I17" s="12" t="s">
        <v>3</v>
      </c>
      <c r="J17" s="12"/>
      <c r="K17" s="12"/>
    </row>
    <row r="18" spans="1:11" ht="28.8">
      <c r="A18" s="12" t="s">
        <v>78</v>
      </c>
      <c r="B18" s="12" t="s">
        <v>27</v>
      </c>
      <c r="C18" s="12" t="s">
        <v>79</v>
      </c>
      <c r="D18" s="12" t="s">
        <v>80</v>
      </c>
      <c r="E18" s="12" t="s">
        <v>81</v>
      </c>
      <c r="F18" s="12" t="s">
        <v>4</v>
      </c>
      <c r="G18" s="12" t="s">
        <v>5</v>
      </c>
      <c r="H18" s="12" t="s">
        <v>43</v>
      </c>
      <c r="I18" s="12" t="s">
        <v>3</v>
      </c>
      <c r="J18" s="12"/>
      <c r="K18" s="12"/>
    </row>
    <row r="19" spans="1:11" ht="28.8">
      <c r="A19" s="12" t="s">
        <v>82</v>
      </c>
      <c r="B19" s="12" t="s">
        <v>27</v>
      </c>
      <c r="C19" s="12" t="s">
        <v>79</v>
      </c>
      <c r="D19" s="12" t="s">
        <v>83</v>
      </c>
      <c r="E19" s="12" t="s">
        <v>84</v>
      </c>
      <c r="F19" s="12" t="s">
        <v>7</v>
      </c>
      <c r="G19" s="12" t="s">
        <v>5</v>
      </c>
      <c r="H19" s="12" t="s">
        <v>78</v>
      </c>
      <c r="I19" s="12" t="s">
        <v>3</v>
      </c>
      <c r="J19" s="12"/>
      <c r="K19" s="12"/>
    </row>
    <row r="20" spans="1:11" ht="28.8">
      <c r="A20" s="12" t="s">
        <v>85</v>
      </c>
      <c r="B20" s="12" t="s">
        <v>27</v>
      </c>
      <c r="C20" s="12" t="s">
        <v>79</v>
      </c>
      <c r="D20" s="12" t="s">
        <v>86</v>
      </c>
      <c r="E20" s="12" t="s">
        <v>87</v>
      </c>
      <c r="F20" s="12" t="s">
        <v>7</v>
      </c>
      <c r="G20" s="12" t="s">
        <v>5</v>
      </c>
      <c r="H20" s="12" t="s">
        <v>78</v>
      </c>
      <c r="I20" s="12" t="s">
        <v>3</v>
      </c>
      <c r="J20" s="12"/>
      <c r="K20" s="12"/>
    </row>
    <row r="21" spans="1:11" ht="28.8">
      <c r="A21" s="12" t="s">
        <v>88</v>
      </c>
      <c r="B21" s="12" t="s">
        <v>27</v>
      </c>
      <c r="C21" s="12" t="s">
        <v>79</v>
      </c>
      <c r="D21" s="12" t="s">
        <v>89</v>
      </c>
      <c r="E21" s="12" t="s">
        <v>90</v>
      </c>
      <c r="F21" s="12" t="s">
        <v>4</v>
      </c>
      <c r="G21" s="12" t="s">
        <v>5</v>
      </c>
      <c r="H21" s="12" t="s">
        <v>78</v>
      </c>
      <c r="I21" s="12" t="s">
        <v>3</v>
      </c>
      <c r="J21" s="12"/>
      <c r="K21" s="12"/>
    </row>
    <row r="22" spans="1:11" ht="28.8">
      <c r="A22" s="12" t="s">
        <v>91</v>
      </c>
      <c r="B22" s="12" t="s">
        <v>27</v>
      </c>
      <c r="C22" s="12" t="s">
        <v>92</v>
      </c>
      <c r="D22" s="12" t="s">
        <v>93</v>
      </c>
      <c r="E22" s="12" t="s">
        <v>94</v>
      </c>
      <c r="F22" s="12" t="s">
        <v>4</v>
      </c>
      <c r="G22" s="12" t="s">
        <v>5</v>
      </c>
      <c r="H22" s="12" t="s">
        <v>74</v>
      </c>
      <c r="I22" s="12" t="s">
        <v>3</v>
      </c>
      <c r="J22" s="12"/>
      <c r="K22" s="12"/>
    </row>
    <row r="23" spans="1:11">
      <c r="A23" s="12" t="s">
        <v>95</v>
      </c>
      <c r="B23" s="12" t="s">
        <v>27</v>
      </c>
      <c r="C23" s="12" t="s">
        <v>92</v>
      </c>
      <c r="D23" s="12" t="s">
        <v>96</v>
      </c>
      <c r="E23" s="12" t="s">
        <v>97</v>
      </c>
      <c r="F23" s="12" t="s">
        <v>10</v>
      </c>
      <c r="G23" s="12" t="s">
        <v>5</v>
      </c>
      <c r="H23" s="12" t="s">
        <v>91</v>
      </c>
      <c r="I23" s="12" t="s">
        <v>3</v>
      </c>
      <c r="J23" s="12"/>
      <c r="K23" s="12"/>
    </row>
    <row r="24" spans="1:11">
      <c r="A24" s="12" t="s">
        <v>98</v>
      </c>
      <c r="B24" s="12" t="s">
        <v>27</v>
      </c>
      <c r="C24" s="12" t="s">
        <v>99</v>
      </c>
      <c r="D24" s="12" t="s">
        <v>100</v>
      </c>
      <c r="E24" s="12" t="s">
        <v>101</v>
      </c>
      <c r="F24" s="12" t="s">
        <v>4</v>
      </c>
      <c r="G24" s="12" t="s">
        <v>5</v>
      </c>
      <c r="H24" s="12" t="s">
        <v>88</v>
      </c>
      <c r="I24" s="12" t="s">
        <v>3</v>
      </c>
      <c r="J24" s="12"/>
      <c r="K24" s="12"/>
    </row>
    <row r="25" spans="1:11">
      <c r="A25" s="12" t="s">
        <v>102</v>
      </c>
      <c r="B25" s="12" t="s">
        <v>27</v>
      </c>
      <c r="C25" s="12" t="s">
        <v>99</v>
      </c>
      <c r="D25" s="12" t="s">
        <v>103</v>
      </c>
      <c r="E25" s="12" t="s">
        <v>104</v>
      </c>
      <c r="F25" s="12" t="s">
        <v>4</v>
      </c>
      <c r="G25" s="12" t="s">
        <v>5</v>
      </c>
      <c r="H25" s="12" t="s">
        <v>98</v>
      </c>
      <c r="I25" s="12" t="s">
        <v>3</v>
      </c>
      <c r="J25" s="12"/>
      <c r="K25" s="12"/>
    </row>
    <row r="26" spans="1:11">
      <c r="A26" s="12" t="s">
        <v>105</v>
      </c>
      <c r="B26" s="12" t="s">
        <v>27</v>
      </c>
      <c r="C26" s="12" t="s">
        <v>99</v>
      </c>
      <c r="D26" s="12" t="s">
        <v>106</v>
      </c>
      <c r="E26" s="12" t="s">
        <v>107</v>
      </c>
      <c r="F26" s="12" t="s">
        <v>7</v>
      </c>
      <c r="G26" s="12" t="s">
        <v>5</v>
      </c>
      <c r="H26" s="12" t="s">
        <v>88</v>
      </c>
      <c r="I26" s="12" t="s">
        <v>3</v>
      </c>
      <c r="J26" s="12"/>
      <c r="K26" s="12"/>
    </row>
    <row r="27" spans="1:11" ht="28.8">
      <c r="A27" s="12" t="s">
        <v>108</v>
      </c>
      <c r="B27" s="12" t="s">
        <v>27</v>
      </c>
      <c r="C27" s="12" t="s">
        <v>99</v>
      </c>
      <c r="D27" s="12" t="s">
        <v>109</v>
      </c>
      <c r="E27" s="12" t="s">
        <v>110</v>
      </c>
      <c r="F27" s="12" t="s">
        <v>4</v>
      </c>
      <c r="G27" s="12" t="s">
        <v>5</v>
      </c>
      <c r="H27" s="12" t="s">
        <v>88</v>
      </c>
      <c r="I27" s="12" t="s">
        <v>3</v>
      </c>
      <c r="J27" s="12"/>
      <c r="K27" s="12"/>
    </row>
    <row r="28" spans="1:11">
      <c r="A28" s="12" t="s">
        <v>111</v>
      </c>
      <c r="B28" s="12" t="s">
        <v>27</v>
      </c>
      <c r="C28" s="12" t="s">
        <v>112</v>
      </c>
      <c r="D28" s="12" t="s">
        <v>113</v>
      </c>
      <c r="E28" s="12" t="s">
        <v>114</v>
      </c>
      <c r="F28" s="12" t="s">
        <v>4</v>
      </c>
      <c r="G28" s="12" t="s">
        <v>5</v>
      </c>
      <c r="H28" s="12" t="s">
        <v>102</v>
      </c>
      <c r="I28" s="12" t="s">
        <v>3</v>
      </c>
      <c r="J28" s="12"/>
      <c r="K28" s="12"/>
    </row>
    <row r="29" spans="1:11" ht="28.8">
      <c r="A29" s="12" t="s">
        <v>115</v>
      </c>
      <c r="B29" s="12" t="s">
        <v>27</v>
      </c>
      <c r="C29" s="12" t="s">
        <v>112</v>
      </c>
      <c r="D29" s="12" t="s">
        <v>116</v>
      </c>
      <c r="E29" s="12" t="s">
        <v>117</v>
      </c>
      <c r="F29" s="12" t="s">
        <v>7</v>
      </c>
      <c r="G29" s="12" t="s">
        <v>5</v>
      </c>
      <c r="H29" s="12" t="s">
        <v>111</v>
      </c>
      <c r="I29" s="12" t="s">
        <v>3</v>
      </c>
      <c r="J29" s="12"/>
      <c r="K29" s="12"/>
    </row>
    <row r="30" spans="1:11" ht="28.8">
      <c r="A30" s="12" t="s">
        <v>118</v>
      </c>
      <c r="B30" s="12" t="s">
        <v>27</v>
      </c>
      <c r="C30" s="12" t="s">
        <v>112</v>
      </c>
      <c r="D30" s="12" t="s">
        <v>119</v>
      </c>
      <c r="E30" s="12" t="s">
        <v>120</v>
      </c>
      <c r="F30" s="12" t="s">
        <v>7</v>
      </c>
      <c r="G30" s="12" t="s">
        <v>5</v>
      </c>
      <c r="H30" s="12" t="s">
        <v>111</v>
      </c>
      <c r="I30" s="12" t="s">
        <v>3</v>
      </c>
      <c r="J30" s="12"/>
      <c r="K30" s="12"/>
    </row>
    <row r="31" spans="1:11">
      <c r="A31" s="12" t="s">
        <v>121</v>
      </c>
      <c r="B31" s="12" t="s">
        <v>27</v>
      </c>
      <c r="C31" s="12" t="s">
        <v>122</v>
      </c>
      <c r="D31" s="12" t="s">
        <v>123</v>
      </c>
      <c r="E31" s="12" t="s">
        <v>124</v>
      </c>
      <c r="F31" s="12" t="s">
        <v>7</v>
      </c>
      <c r="G31" s="12" t="s">
        <v>5</v>
      </c>
      <c r="H31" s="12"/>
      <c r="I31" s="12" t="s">
        <v>3</v>
      </c>
      <c r="J31" s="12"/>
      <c r="K31" s="12"/>
    </row>
    <row r="32" spans="1:11" ht="28.8">
      <c r="A32" s="12" t="s">
        <v>125</v>
      </c>
      <c r="B32" s="12" t="s">
        <v>27</v>
      </c>
      <c r="C32" s="12" t="s">
        <v>122</v>
      </c>
      <c r="D32" s="12" t="s">
        <v>126</v>
      </c>
      <c r="E32" s="12" t="s">
        <v>127</v>
      </c>
      <c r="F32" s="12" t="s">
        <v>4</v>
      </c>
      <c r="G32" s="12" t="s">
        <v>5</v>
      </c>
      <c r="H32" s="12" t="s">
        <v>121</v>
      </c>
      <c r="I32" s="12" t="s">
        <v>3</v>
      </c>
      <c r="J32" s="12"/>
      <c r="K32" s="12"/>
    </row>
    <row r="33" spans="1:11" ht="28.8">
      <c r="A33" s="12" t="s">
        <v>128</v>
      </c>
      <c r="B33" s="12" t="s">
        <v>27</v>
      </c>
      <c r="C33" s="12" t="s">
        <v>122</v>
      </c>
      <c r="D33" s="12" t="s">
        <v>129</v>
      </c>
      <c r="E33" s="12" t="s">
        <v>130</v>
      </c>
      <c r="F33" s="12" t="s">
        <v>4</v>
      </c>
      <c r="G33" s="12" t="s">
        <v>5</v>
      </c>
      <c r="H33" s="12" t="s">
        <v>125</v>
      </c>
      <c r="I33" s="12" t="s">
        <v>3</v>
      </c>
      <c r="J33" s="12"/>
      <c r="K33" s="12"/>
    </row>
    <row r="34" spans="1:11" ht="28.8">
      <c r="A34" s="12" t="s">
        <v>131</v>
      </c>
      <c r="B34" s="12" t="s">
        <v>27</v>
      </c>
      <c r="C34" s="12" t="s">
        <v>122</v>
      </c>
      <c r="D34" s="12" t="s">
        <v>132</v>
      </c>
      <c r="E34" s="12" t="s">
        <v>133</v>
      </c>
      <c r="F34" s="12" t="s">
        <v>7</v>
      </c>
      <c r="G34" s="12" t="s">
        <v>5</v>
      </c>
      <c r="H34" s="12" t="s">
        <v>125</v>
      </c>
      <c r="I34" s="12" t="s">
        <v>3</v>
      </c>
      <c r="J34" s="12"/>
      <c r="K34" s="12"/>
    </row>
    <row r="35" spans="1:11" ht="28.8">
      <c r="A35" s="12" t="s">
        <v>134</v>
      </c>
      <c r="B35" s="12" t="s">
        <v>27</v>
      </c>
      <c r="C35" s="12" t="s">
        <v>135</v>
      </c>
      <c r="D35" s="12" t="s">
        <v>136</v>
      </c>
      <c r="E35" s="12" t="s">
        <v>137</v>
      </c>
      <c r="F35" s="12" t="s">
        <v>7</v>
      </c>
      <c r="G35" s="12" t="s">
        <v>5</v>
      </c>
      <c r="H35" s="12"/>
      <c r="I35" s="12" t="s">
        <v>3</v>
      </c>
      <c r="J35" s="12"/>
      <c r="K35" s="12"/>
    </row>
    <row r="36" spans="1:11" ht="28.8">
      <c r="A36" s="12" t="s">
        <v>138</v>
      </c>
      <c r="B36" s="12" t="s">
        <v>27</v>
      </c>
      <c r="C36" s="12" t="s">
        <v>135</v>
      </c>
      <c r="D36" s="12" t="s">
        <v>139</v>
      </c>
      <c r="E36" s="12" t="s">
        <v>140</v>
      </c>
      <c r="F36" s="12" t="s">
        <v>4</v>
      </c>
      <c r="G36" s="12" t="s">
        <v>5</v>
      </c>
      <c r="H36" s="12" t="s">
        <v>134</v>
      </c>
      <c r="I36" s="12" t="s">
        <v>3</v>
      </c>
      <c r="J36" s="12"/>
      <c r="K36" s="12"/>
    </row>
    <row r="37" spans="1:11">
      <c r="A37" s="12" t="s">
        <v>141</v>
      </c>
      <c r="B37" s="12" t="s">
        <v>27</v>
      </c>
      <c r="C37" s="12" t="s">
        <v>135</v>
      </c>
      <c r="D37" s="12" t="s">
        <v>142</v>
      </c>
      <c r="E37" s="12" t="s">
        <v>143</v>
      </c>
      <c r="F37" s="12" t="s">
        <v>4</v>
      </c>
      <c r="G37" s="12" t="s">
        <v>5</v>
      </c>
      <c r="H37" s="12" t="s">
        <v>68</v>
      </c>
      <c r="I37" s="12" t="s">
        <v>3</v>
      </c>
      <c r="J37" s="12"/>
      <c r="K37" s="12"/>
    </row>
    <row r="38" spans="1:11">
      <c r="A38" s="12" t="s">
        <v>144</v>
      </c>
      <c r="B38" s="12" t="s">
        <v>27</v>
      </c>
      <c r="C38" s="12" t="s">
        <v>135</v>
      </c>
      <c r="D38" s="12" t="s">
        <v>145</v>
      </c>
      <c r="E38" s="12" t="s">
        <v>146</v>
      </c>
      <c r="F38" s="12" t="s">
        <v>4</v>
      </c>
      <c r="G38" s="12" t="s">
        <v>5</v>
      </c>
      <c r="H38" s="12" t="s">
        <v>108</v>
      </c>
      <c r="I38" s="12" t="s">
        <v>3</v>
      </c>
      <c r="J38" s="12"/>
      <c r="K38" s="12"/>
    </row>
    <row r="39" spans="1:11" ht="28.8">
      <c r="A39" s="12" t="s">
        <v>147</v>
      </c>
      <c r="B39" s="12" t="s">
        <v>27</v>
      </c>
      <c r="C39" s="12" t="s">
        <v>135</v>
      </c>
      <c r="D39" s="12" t="s">
        <v>148</v>
      </c>
      <c r="E39" s="12" t="s">
        <v>149</v>
      </c>
      <c r="F39" s="12" t="s">
        <v>7</v>
      </c>
      <c r="G39" s="12" t="s">
        <v>5</v>
      </c>
      <c r="H39" s="12" t="s">
        <v>125</v>
      </c>
      <c r="I39" s="12" t="s">
        <v>3</v>
      </c>
      <c r="J39" s="12"/>
      <c r="K39" s="12"/>
    </row>
    <row r="40" spans="1:11" ht="28.8">
      <c r="A40" s="12" t="s">
        <v>150</v>
      </c>
      <c r="B40" s="12" t="s">
        <v>27</v>
      </c>
      <c r="C40" s="12" t="s">
        <v>135</v>
      </c>
      <c r="D40" s="12" t="s">
        <v>151</v>
      </c>
      <c r="E40" s="12" t="s">
        <v>152</v>
      </c>
      <c r="F40" s="12" t="s">
        <v>10</v>
      </c>
      <c r="G40" s="12" t="s">
        <v>5</v>
      </c>
      <c r="H40" s="12"/>
      <c r="I40" s="12" t="s">
        <v>3</v>
      </c>
      <c r="J40" s="12"/>
      <c r="K40" s="12"/>
    </row>
    <row r="41" spans="1:11" ht="28.8">
      <c r="A41" s="12" t="s">
        <v>153</v>
      </c>
      <c r="B41" s="12" t="s">
        <v>154</v>
      </c>
      <c r="C41" s="12" t="s">
        <v>155</v>
      </c>
      <c r="D41" s="12" t="s">
        <v>156</v>
      </c>
      <c r="E41" s="12" t="s">
        <v>157</v>
      </c>
      <c r="F41" s="12" t="s">
        <v>4</v>
      </c>
      <c r="G41" s="12" t="s">
        <v>8</v>
      </c>
      <c r="H41" s="12" t="s">
        <v>43</v>
      </c>
      <c r="I41" s="12" t="s">
        <v>3</v>
      </c>
      <c r="J41" s="12"/>
      <c r="K41" s="12"/>
    </row>
    <row r="42" spans="1:11" ht="28.8">
      <c r="A42" s="12" t="s">
        <v>158</v>
      </c>
      <c r="B42" s="12" t="s">
        <v>154</v>
      </c>
      <c r="C42" s="12" t="s">
        <v>155</v>
      </c>
      <c r="D42" s="12" t="s">
        <v>159</v>
      </c>
      <c r="E42" s="12" t="s">
        <v>160</v>
      </c>
      <c r="F42" s="12" t="s">
        <v>4</v>
      </c>
      <c r="G42" s="12" t="s">
        <v>8</v>
      </c>
      <c r="H42" s="12" t="s">
        <v>153</v>
      </c>
      <c r="I42" s="12" t="s">
        <v>3</v>
      </c>
      <c r="J42" s="12"/>
      <c r="K42" s="12"/>
    </row>
    <row r="43" spans="1:11" ht="28.8">
      <c r="A43" s="12" t="s">
        <v>161</v>
      </c>
      <c r="B43" s="12" t="s">
        <v>154</v>
      </c>
      <c r="C43" s="12" t="s">
        <v>162</v>
      </c>
      <c r="D43" s="12" t="s">
        <v>163</v>
      </c>
      <c r="E43" s="12" t="s">
        <v>164</v>
      </c>
      <c r="F43" s="12" t="s">
        <v>7</v>
      </c>
      <c r="G43" s="12" t="s">
        <v>8</v>
      </c>
      <c r="H43" s="12" t="s">
        <v>53</v>
      </c>
      <c r="I43" s="12" t="s">
        <v>3</v>
      </c>
      <c r="J43" s="12"/>
      <c r="K43" s="12"/>
    </row>
    <row r="44" spans="1:11" ht="28.8">
      <c r="A44" s="12" t="s">
        <v>165</v>
      </c>
      <c r="B44" s="12" t="s">
        <v>154</v>
      </c>
      <c r="C44" s="12" t="s">
        <v>166</v>
      </c>
      <c r="D44" s="12" t="s">
        <v>167</v>
      </c>
      <c r="E44" s="12" t="s">
        <v>168</v>
      </c>
      <c r="F44" s="12" t="s">
        <v>7</v>
      </c>
      <c r="G44" s="12" t="s">
        <v>8</v>
      </c>
      <c r="H44" s="12" t="s">
        <v>50</v>
      </c>
      <c r="I44" s="12" t="s">
        <v>3</v>
      </c>
      <c r="J44" s="12"/>
      <c r="K44" s="12"/>
    </row>
    <row r="45" spans="1:11" ht="28.8">
      <c r="A45" s="12" t="s">
        <v>169</v>
      </c>
      <c r="B45" s="12" t="s">
        <v>154</v>
      </c>
      <c r="C45" s="12" t="s">
        <v>170</v>
      </c>
      <c r="D45" s="12" t="s">
        <v>171</v>
      </c>
      <c r="E45" s="12" t="s">
        <v>172</v>
      </c>
      <c r="F45" s="12" t="s">
        <v>7</v>
      </c>
      <c r="G45" s="12" t="s">
        <v>8</v>
      </c>
      <c r="H45" s="12" t="s">
        <v>43</v>
      </c>
      <c r="I45" s="12" t="s">
        <v>3</v>
      </c>
      <c r="J45" s="12"/>
      <c r="K45" s="12"/>
    </row>
    <row r="46" spans="1:11" ht="28.8">
      <c r="A46" s="12" t="s">
        <v>173</v>
      </c>
      <c r="B46" s="12" t="s">
        <v>154</v>
      </c>
      <c r="C46" s="12" t="s">
        <v>174</v>
      </c>
      <c r="D46" s="12" t="s">
        <v>175</v>
      </c>
      <c r="E46" s="12" t="s">
        <v>176</v>
      </c>
      <c r="F46" s="12" t="s">
        <v>4</v>
      </c>
      <c r="G46" s="12" t="s">
        <v>8</v>
      </c>
      <c r="H46" s="12" t="s">
        <v>26</v>
      </c>
      <c r="I46" s="12" t="s">
        <v>3</v>
      </c>
      <c r="J46" s="12"/>
      <c r="K46" s="12"/>
    </row>
    <row r="47" spans="1:11" ht="28.8">
      <c r="A47" s="12" t="s">
        <v>177</v>
      </c>
      <c r="B47" s="12" t="s">
        <v>154</v>
      </c>
      <c r="C47" s="12" t="s">
        <v>174</v>
      </c>
      <c r="D47" s="12" t="s">
        <v>178</v>
      </c>
      <c r="E47" s="12" t="s">
        <v>179</v>
      </c>
      <c r="F47" s="12" t="s">
        <v>4</v>
      </c>
      <c r="G47" s="12" t="s">
        <v>8</v>
      </c>
      <c r="H47" s="12" t="s">
        <v>68</v>
      </c>
      <c r="I47" s="12" t="s">
        <v>3</v>
      </c>
      <c r="J47" s="12"/>
      <c r="K47" s="12"/>
    </row>
    <row r="48" spans="1:11" ht="28.8">
      <c r="A48" s="12" t="s">
        <v>180</v>
      </c>
      <c r="B48" s="12" t="s">
        <v>154</v>
      </c>
      <c r="C48" s="12" t="s">
        <v>181</v>
      </c>
      <c r="D48" s="12" t="s">
        <v>182</v>
      </c>
      <c r="E48" s="12" t="s">
        <v>183</v>
      </c>
      <c r="F48" s="12" t="s">
        <v>7</v>
      </c>
      <c r="G48" s="12" t="s">
        <v>8</v>
      </c>
      <c r="H48" s="12" t="s">
        <v>153</v>
      </c>
      <c r="I48" s="12" t="s">
        <v>3</v>
      </c>
      <c r="J48" s="12"/>
      <c r="K48" s="12"/>
    </row>
    <row r="49" spans="1:11" ht="28.8">
      <c r="A49" s="12" t="s">
        <v>184</v>
      </c>
      <c r="B49" s="12" t="s">
        <v>185</v>
      </c>
      <c r="C49" s="12" t="s">
        <v>186</v>
      </c>
      <c r="D49" s="12" t="s">
        <v>187</v>
      </c>
      <c r="E49" s="12" t="s">
        <v>188</v>
      </c>
      <c r="F49" s="12" t="s">
        <v>7</v>
      </c>
      <c r="G49" s="12" t="s">
        <v>11</v>
      </c>
      <c r="H49" s="12" t="s">
        <v>91</v>
      </c>
      <c r="I49" s="12" t="s">
        <v>3</v>
      </c>
      <c r="J49" s="12"/>
      <c r="K49" s="12"/>
    </row>
    <row r="50" spans="1:11">
      <c r="A50" s="12" t="s">
        <v>189</v>
      </c>
      <c r="B50" s="12" t="s">
        <v>185</v>
      </c>
      <c r="C50" s="12" t="s">
        <v>186</v>
      </c>
      <c r="D50" s="12" t="s">
        <v>190</v>
      </c>
      <c r="E50" s="12" t="s">
        <v>191</v>
      </c>
      <c r="F50" s="12" t="s">
        <v>7</v>
      </c>
      <c r="G50" s="12" t="s">
        <v>11</v>
      </c>
      <c r="H50" s="12" t="s">
        <v>184</v>
      </c>
      <c r="I50" s="12" t="s">
        <v>3</v>
      </c>
      <c r="J50" s="12"/>
      <c r="K50" s="12"/>
    </row>
    <row r="51" spans="1:11" ht="28.8">
      <c r="A51" s="12" t="s">
        <v>192</v>
      </c>
      <c r="B51" s="12" t="s">
        <v>185</v>
      </c>
      <c r="C51" s="12" t="s">
        <v>193</v>
      </c>
      <c r="D51" s="12" t="s">
        <v>194</v>
      </c>
      <c r="E51" s="12" t="s">
        <v>195</v>
      </c>
      <c r="F51" s="12" t="s">
        <v>10</v>
      </c>
      <c r="G51" s="12" t="s">
        <v>11</v>
      </c>
      <c r="H51" s="12" t="s">
        <v>111</v>
      </c>
      <c r="I51" s="12" t="s">
        <v>3</v>
      </c>
      <c r="J51" s="12"/>
      <c r="K51" s="12"/>
    </row>
    <row r="52" spans="1:11">
      <c r="A52" s="12" t="s">
        <v>196</v>
      </c>
      <c r="B52" s="12" t="s">
        <v>185</v>
      </c>
      <c r="C52" s="12" t="s">
        <v>193</v>
      </c>
      <c r="D52" s="12" t="s">
        <v>197</v>
      </c>
      <c r="E52" s="12" t="s">
        <v>198</v>
      </c>
      <c r="F52" s="12" t="s">
        <v>13</v>
      </c>
      <c r="G52" s="12" t="s">
        <v>11</v>
      </c>
      <c r="H52" s="12" t="s">
        <v>192</v>
      </c>
      <c r="I52" s="12" t="s">
        <v>3</v>
      </c>
      <c r="J52" s="12"/>
      <c r="K52" s="12"/>
    </row>
    <row r="53" spans="1:11" ht="28.8">
      <c r="A53" s="12" t="s">
        <v>199</v>
      </c>
      <c r="B53" s="12" t="s">
        <v>185</v>
      </c>
      <c r="C53" s="12" t="s">
        <v>200</v>
      </c>
      <c r="D53" s="12" t="s">
        <v>201</v>
      </c>
      <c r="E53" s="12" t="s">
        <v>202</v>
      </c>
      <c r="F53" s="12" t="s">
        <v>10</v>
      </c>
      <c r="G53" s="12" t="s">
        <v>11</v>
      </c>
      <c r="H53" s="12" t="s">
        <v>71</v>
      </c>
      <c r="I53" s="12" t="s">
        <v>3</v>
      </c>
      <c r="J53" s="12"/>
      <c r="K53" s="12"/>
    </row>
    <row r="54" spans="1:11" ht="28.8">
      <c r="A54" s="12" t="s">
        <v>203</v>
      </c>
      <c r="B54" s="12" t="s">
        <v>204</v>
      </c>
      <c r="C54" s="12" t="s">
        <v>205</v>
      </c>
      <c r="D54" s="12" t="s">
        <v>206</v>
      </c>
      <c r="E54" s="12" t="s">
        <v>207</v>
      </c>
      <c r="F54" s="12" t="s">
        <v>4</v>
      </c>
      <c r="G54" s="12" t="s">
        <v>14</v>
      </c>
      <c r="H54" s="12" t="s">
        <v>68</v>
      </c>
      <c r="I54" s="12" t="s">
        <v>3</v>
      </c>
      <c r="J54" s="12"/>
      <c r="K54" s="12"/>
    </row>
    <row r="55" spans="1:11">
      <c r="A55" s="12" t="s">
        <v>208</v>
      </c>
      <c r="B55" s="12" t="s">
        <v>204</v>
      </c>
      <c r="C55" s="12" t="s">
        <v>205</v>
      </c>
      <c r="D55" s="12" t="s">
        <v>209</v>
      </c>
      <c r="E55" s="12" t="s">
        <v>210</v>
      </c>
      <c r="F55" s="12" t="s">
        <v>4</v>
      </c>
      <c r="G55" s="12" t="s">
        <v>14</v>
      </c>
      <c r="H55" s="12" t="s">
        <v>128</v>
      </c>
      <c r="I55" s="12" t="s">
        <v>3</v>
      </c>
      <c r="J55" s="12"/>
      <c r="K55" s="12"/>
    </row>
    <row r="56" spans="1:11" ht="28.8">
      <c r="A56" s="12" t="s">
        <v>211</v>
      </c>
      <c r="B56" s="12" t="s">
        <v>204</v>
      </c>
      <c r="C56" s="12" t="s">
        <v>212</v>
      </c>
      <c r="D56" s="12" t="s">
        <v>213</v>
      </c>
      <c r="E56" s="12" t="s">
        <v>214</v>
      </c>
      <c r="F56" s="12" t="s">
        <v>4</v>
      </c>
      <c r="G56" s="12" t="s">
        <v>14</v>
      </c>
      <c r="H56" s="12" t="s">
        <v>111</v>
      </c>
      <c r="I56" s="12" t="s">
        <v>3</v>
      </c>
      <c r="J56" s="12"/>
      <c r="K56" s="12"/>
    </row>
    <row r="57" spans="1:11" ht="28.8">
      <c r="A57" s="12" t="s">
        <v>215</v>
      </c>
      <c r="B57" s="12" t="s">
        <v>204</v>
      </c>
      <c r="C57" s="12" t="s">
        <v>212</v>
      </c>
      <c r="D57" s="12" t="s">
        <v>216</v>
      </c>
      <c r="E57" s="12" t="s">
        <v>217</v>
      </c>
      <c r="F57" s="12" t="s">
        <v>7</v>
      </c>
      <c r="G57" s="12" t="s">
        <v>14</v>
      </c>
      <c r="H57" s="12" t="s">
        <v>108</v>
      </c>
      <c r="I57" s="12" t="s">
        <v>3</v>
      </c>
      <c r="J57" s="12"/>
      <c r="K57" s="12"/>
    </row>
    <row r="58" spans="1:11" ht="28.8">
      <c r="A58" s="12" t="s">
        <v>218</v>
      </c>
      <c r="B58" s="12" t="s">
        <v>204</v>
      </c>
      <c r="C58" s="12" t="s">
        <v>205</v>
      </c>
      <c r="D58" s="12" t="s">
        <v>219</v>
      </c>
      <c r="E58" s="12" t="s">
        <v>220</v>
      </c>
      <c r="F58" s="12" t="s">
        <v>10</v>
      </c>
      <c r="G58" s="12" t="s">
        <v>14</v>
      </c>
      <c r="H58" s="12" t="s">
        <v>128</v>
      </c>
      <c r="I58" s="12" t="s">
        <v>3</v>
      </c>
      <c r="J58" s="12"/>
      <c r="K58" s="12"/>
    </row>
    <row r="59" spans="1:11">
      <c r="A59" s="12" t="s">
        <v>221</v>
      </c>
      <c r="B59" s="12" t="s">
        <v>222</v>
      </c>
      <c r="C59" s="12" t="s">
        <v>223</v>
      </c>
      <c r="D59" s="12" t="s">
        <v>224</v>
      </c>
      <c r="E59" s="12" t="s">
        <v>225</v>
      </c>
      <c r="F59" s="12" t="s">
        <v>7</v>
      </c>
      <c r="G59" s="12" t="s">
        <v>16</v>
      </c>
      <c r="H59" s="12" t="s">
        <v>128</v>
      </c>
      <c r="I59" s="12" t="s">
        <v>3</v>
      </c>
      <c r="J59" s="12"/>
      <c r="K59" s="12"/>
    </row>
    <row r="60" spans="1:11" ht="28.8">
      <c r="A60" s="12" t="s">
        <v>226</v>
      </c>
      <c r="B60" s="12" t="s">
        <v>222</v>
      </c>
      <c r="C60" s="12" t="s">
        <v>227</v>
      </c>
      <c r="D60" s="12" t="s">
        <v>228</v>
      </c>
      <c r="E60" s="12" t="s">
        <v>229</v>
      </c>
      <c r="F60" s="12" t="s">
        <v>10</v>
      </c>
      <c r="G60" s="12" t="s">
        <v>16</v>
      </c>
      <c r="H60" s="12" t="s">
        <v>88</v>
      </c>
      <c r="I60" s="12" t="s">
        <v>3</v>
      </c>
      <c r="J60" s="12"/>
      <c r="K60" s="12"/>
    </row>
    <row r="61" spans="1:11" ht="28.8">
      <c r="A61" s="12" t="s">
        <v>230</v>
      </c>
      <c r="B61" s="12" t="s">
        <v>222</v>
      </c>
      <c r="C61" s="12" t="s">
        <v>231</v>
      </c>
      <c r="D61" s="12" t="s">
        <v>232</v>
      </c>
      <c r="E61" s="12" t="s">
        <v>233</v>
      </c>
      <c r="F61" s="12" t="s">
        <v>10</v>
      </c>
      <c r="G61" s="12" t="s">
        <v>16</v>
      </c>
      <c r="H61" s="12" t="s">
        <v>111</v>
      </c>
      <c r="I61" s="12" t="s">
        <v>3</v>
      </c>
      <c r="J61" s="12"/>
      <c r="K61" s="12"/>
    </row>
    <row r="62" spans="1:11" ht="28.8">
      <c r="A62" s="12" t="s">
        <v>234</v>
      </c>
      <c r="B62" s="12" t="s">
        <v>222</v>
      </c>
      <c r="C62" s="12" t="s">
        <v>235</v>
      </c>
      <c r="D62" s="12" t="s">
        <v>236</v>
      </c>
      <c r="E62" s="12" t="s">
        <v>237</v>
      </c>
      <c r="F62" s="12" t="s">
        <v>13</v>
      </c>
      <c r="G62" s="12" t="s">
        <v>16</v>
      </c>
      <c r="H62" s="12" t="s">
        <v>128</v>
      </c>
      <c r="I62" s="12" t="s">
        <v>3</v>
      </c>
      <c r="J62" s="12"/>
      <c r="K62" s="12"/>
    </row>
    <row r="63" spans="1:11" ht="28.8">
      <c r="A63" s="12" t="s">
        <v>238</v>
      </c>
      <c r="B63" s="12" t="s">
        <v>239</v>
      </c>
      <c r="C63" s="12" t="s">
        <v>240</v>
      </c>
      <c r="D63" s="12" t="s">
        <v>241</v>
      </c>
      <c r="E63" s="12" t="s">
        <v>242</v>
      </c>
      <c r="F63" s="12" t="s">
        <v>7</v>
      </c>
      <c r="G63" s="12" t="s">
        <v>16</v>
      </c>
      <c r="H63" s="12" t="s">
        <v>26</v>
      </c>
      <c r="I63" s="12" t="s">
        <v>3</v>
      </c>
      <c r="J63" s="12"/>
      <c r="K63" s="12"/>
    </row>
    <row r="64" spans="1:11" ht="28.8">
      <c r="A64" s="12" t="s">
        <v>243</v>
      </c>
      <c r="B64" s="12" t="s">
        <v>239</v>
      </c>
      <c r="C64" s="12" t="s">
        <v>240</v>
      </c>
      <c r="D64" s="12" t="s">
        <v>244</v>
      </c>
      <c r="E64" s="12" t="s">
        <v>245</v>
      </c>
      <c r="F64" s="12" t="s">
        <v>10</v>
      </c>
      <c r="G64" s="12" t="s">
        <v>16</v>
      </c>
      <c r="H64" s="12" t="s">
        <v>238</v>
      </c>
      <c r="I64" s="12" t="s">
        <v>3</v>
      </c>
      <c r="J64" s="12"/>
      <c r="K64" s="12"/>
    </row>
    <row r="65" spans="1:11" ht="28.8">
      <c r="A65" s="12" t="s">
        <v>246</v>
      </c>
      <c r="B65" s="12" t="s">
        <v>239</v>
      </c>
      <c r="C65" s="12" t="s">
        <v>240</v>
      </c>
      <c r="D65" s="12" t="s">
        <v>247</v>
      </c>
      <c r="E65" s="12" t="s">
        <v>248</v>
      </c>
      <c r="F65" s="12" t="s">
        <v>7</v>
      </c>
      <c r="G65" s="12" t="s">
        <v>16</v>
      </c>
      <c r="H65" s="12" t="s">
        <v>238</v>
      </c>
      <c r="I65" s="12" t="s">
        <v>3</v>
      </c>
      <c r="J65" s="12"/>
      <c r="K65" s="12"/>
    </row>
    <row r="66" spans="1:11" ht="28.8">
      <c r="A66" s="12" t="s">
        <v>249</v>
      </c>
      <c r="B66" s="12" t="s">
        <v>239</v>
      </c>
      <c r="C66" s="12" t="s">
        <v>240</v>
      </c>
      <c r="D66" s="12" t="s">
        <v>250</v>
      </c>
      <c r="E66" s="12" t="s">
        <v>251</v>
      </c>
      <c r="F66" s="12" t="s">
        <v>10</v>
      </c>
      <c r="G66" s="12" t="s">
        <v>16</v>
      </c>
      <c r="H66" s="12" t="s">
        <v>238</v>
      </c>
      <c r="I66" s="12" t="s">
        <v>3</v>
      </c>
      <c r="J66" s="12"/>
      <c r="K66" s="12"/>
    </row>
    <row r="67" spans="1:11" ht="28.8">
      <c r="A67" s="12" t="s">
        <v>252</v>
      </c>
      <c r="B67" s="12" t="s">
        <v>253</v>
      </c>
      <c r="C67" s="12" t="s">
        <v>254</v>
      </c>
      <c r="D67" s="12" t="s">
        <v>255</v>
      </c>
      <c r="E67" s="12" t="s">
        <v>256</v>
      </c>
      <c r="F67" s="12" t="s">
        <v>7</v>
      </c>
      <c r="G67" s="12" t="s">
        <v>16</v>
      </c>
      <c r="H67" s="12" t="s">
        <v>43</v>
      </c>
      <c r="I67" s="12" t="s">
        <v>3</v>
      </c>
      <c r="J67" s="12"/>
      <c r="K67" s="12"/>
    </row>
    <row r="68" spans="1:11" ht="28.8">
      <c r="A68" s="12" t="s">
        <v>257</v>
      </c>
      <c r="B68" s="12" t="s">
        <v>253</v>
      </c>
      <c r="C68" s="12" t="s">
        <v>254</v>
      </c>
      <c r="D68" s="12" t="s">
        <v>258</v>
      </c>
      <c r="E68" s="12" t="s">
        <v>259</v>
      </c>
      <c r="F68" s="12" t="s">
        <v>7</v>
      </c>
      <c r="G68" s="12" t="s">
        <v>16</v>
      </c>
      <c r="H68" s="12" t="s">
        <v>252</v>
      </c>
      <c r="I68" s="12" t="s">
        <v>3</v>
      </c>
      <c r="J68" s="12"/>
      <c r="K68" s="12"/>
    </row>
    <row r="69" spans="1:11" ht="28.8">
      <c r="A69" s="12" t="s">
        <v>260</v>
      </c>
      <c r="B69" s="12" t="s">
        <v>253</v>
      </c>
      <c r="C69" s="12" t="s">
        <v>254</v>
      </c>
      <c r="D69" s="12" t="s">
        <v>261</v>
      </c>
      <c r="E69" s="12" t="s">
        <v>262</v>
      </c>
      <c r="F69" s="12" t="s">
        <v>10</v>
      </c>
      <c r="G69" s="12" t="s">
        <v>16</v>
      </c>
      <c r="H69" s="12" t="s">
        <v>257</v>
      </c>
      <c r="I69" s="12" t="s">
        <v>3</v>
      </c>
      <c r="J69" s="12"/>
      <c r="K69" s="12"/>
    </row>
    <row r="70" spans="1:11" ht="28.8">
      <c r="A70" s="12" t="s">
        <v>263</v>
      </c>
      <c r="B70" s="12" t="s">
        <v>264</v>
      </c>
      <c r="C70" s="12" t="s">
        <v>265</v>
      </c>
      <c r="D70" s="12" t="s">
        <v>266</v>
      </c>
      <c r="E70" s="12" t="s">
        <v>267</v>
      </c>
      <c r="F70" s="12" t="s">
        <v>10</v>
      </c>
      <c r="G70" s="12" t="s">
        <v>16</v>
      </c>
      <c r="H70" s="12" t="s">
        <v>128</v>
      </c>
      <c r="I70" s="12" t="s">
        <v>3</v>
      </c>
      <c r="J70" s="12"/>
      <c r="K70" s="12"/>
    </row>
    <row r="71" spans="1:11">
      <c r="A71" s="12" t="s">
        <v>268</v>
      </c>
      <c r="B71" s="12" t="s">
        <v>264</v>
      </c>
      <c r="C71" s="12" t="s">
        <v>265</v>
      </c>
      <c r="D71" s="12" t="s">
        <v>269</v>
      </c>
      <c r="E71" s="12" t="s">
        <v>270</v>
      </c>
      <c r="F71" s="12" t="s">
        <v>7</v>
      </c>
      <c r="G71" s="12" t="s">
        <v>16</v>
      </c>
      <c r="H71" s="12" t="s">
        <v>263</v>
      </c>
      <c r="I71" s="12" t="s">
        <v>3</v>
      </c>
      <c r="J71" s="12"/>
      <c r="K71" s="12"/>
    </row>
    <row r="72" spans="1:11" ht="28.8">
      <c r="A72" s="12" t="s">
        <v>271</v>
      </c>
      <c r="B72" s="12" t="s">
        <v>264</v>
      </c>
      <c r="C72" s="12" t="s">
        <v>265</v>
      </c>
      <c r="D72" s="12" t="s">
        <v>272</v>
      </c>
      <c r="E72" s="12" t="s">
        <v>273</v>
      </c>
      <c r="F72" s="12" t="s">
        <v>7</v>
      </c>
      <c r="G72" s="12" t="s">
        <v>16</v>
      </c>
      <c r="H72" s="12" t="s">
        <v>268</v>
      </c>
      <c r="I72" s="12" t="s">
        <v>3</v>
      </c>
      <c r="J72" s="12"/>
      <c r="K72" s="12"/>
    </row>
    <row r="73" spans="1:11" ht="28.8">
      <c r="A73" s="12" t="s">
        <v>274</v>
      </c>
      <c r="B73" s="12" t="s">
        <v>275</v>
      </c>
      <c r="C73" s="12" t="s">
        <v>276</v>
      </c>
      <c r="D73" s="12" t="s">
        <v>277</v>
      </c>
      <c r="E73" s="12" t="s">
        <v>278</v>
      </c>
      <c r="F73" s="12" t="s">
        <v>13</v>
      </c>
      <c r="G73" s="12" t="s">
        <v>16</v>
      </c>
      <c r="H73" s="12" t="s">
        <v>150</v>
      </c>
      <c r="I73" s="12" t="s">
        <v>3</v>
      </c>
      <c r="J73" s="12"/>
      <c r="K73" s="12"/>
    </row>
    <row r="74" spans="1:11" ht="28.8">
      <c r="A74" s="12" t="s">
        <v>279</v>
      </c>
      <c r="B74" s="12" t="s">
        <v>275</v>
      </c>
      <c r="C74" s="12" t="s">
        <v>280</v>
      </c>
      <c r="D74" s="12" t="s">
        <v>281</v>
      </c>
      <c r="E74" s="12" t="s">
        <v>282</v>
      </c>
      <c r="F74" s="12" t="s">
        <v>13</v>
      </c>
      <c r="G74" s="12" t="s">
        <v>16</v>
      </c>
      <c r="H74" s="12" t="s">
        <v>274</v>
      </c>
      <c r="I74" s="12" t="s">
        <v>3</v>
      </c>
      <c r="J74" s="12"/>
      <c r="K74" s="12"/>
    </row>
    <row r="75" spans="1:11" ht="28.8">
      <c r="A75" s="12" t="s">
        <v>283</v>
      </c>
      <c r="B75" s="12" t="s">
        <v>284</v>
      </c>
      <c r="C75" s="12" t="s">
        <v>285</v>
      </c>
      <c r="D75" s="12" t="s">
        <v>286</v>
      </c>
      <c r="E75" s="12" t="s">
        <v>287</v>
      </c>
      <c r="F75" s="12" t="s">
        <v>10</v>
      </c>
      <c r="G75" s="12" t="s">
        <v>16</v>
      </c>
      <c r="H75" s="12" t="s">
        <v>184</v>
      </c>
      <c r="I75" s="12" t="s">
        <v>3</v>
      </c>
      <c r="J75" s="12"/>
      <c r="K75" s="12"/>
    </row>
    <row r="76" spans="1:11" ht="28.8">
      <c r="A76" s="12" t="s">
        <v>288</v>
      </c>
      <c r="B76" s="12" t="s">
        <v>284</v>
      </c>
      <c r="C76" s="12" t="s">
        <v>285</v>
      </c>
      <c r="D76" s="12" t="s">
        <v>289</v>
      </c>
      <c r="E76" s="12" t="s">
        <v>290</v>
      </c>
      <c r="F76" s="12" t="s">
        <v>10</v>
      </c>
      <c r="G76" s="12" t="s">
        <v>16</v>
      </c>
      <c r="H76" s="12" t="s">
        <v>184</v>
      </c>
      <c r="I76" s="12" t="s">
        <v>3</v>
      </c>
      <c r="J76" s="12"/>
      <c r="K76" s="12"/>
    </row>
    <row r="77" spans="1:11" ht="28.8">
      <c r="A77" s="12" t="s">
        <v>291</v>
      </c>
      <c r="B77" s="12" t="s">
        <v>284</v>
      </c>
      <c r="C77" s="12" t="s">
        <v>285</v>
      </c>
      <c r="D77" s="12" t="s">
        <v>292</v>
      </c>
      <c r="E77" s="12" t="s">
        <v>293</v>
      </c>
      <c r="F77" s="12" t="s">
        <v>10</v>
      </c>
      <c r="G77" s="12" t="s">
        <v>16</v>
      </c>
      <c r="H77" s="12" t="s">
        <v>283</v>
      </c>
      <c r="I77" s="12" t="s">
        <v>3</v>
      </c>
      <c r="J77" s="12"/>
      <c r="K77" s="12"/>
    </row>
  </sheetData>
  <conditionalFormatting sqref="I2:I77">
    <cfRule type="expression" dxfId="60" priority="1">
      <formula>I2="Done"</formula>
    </cfRule>
    <cfRule type="expression" dxfId="59" priority="2">
      <formula>I2="In Progress"</formula>
    </cfRule>
    <cfRule type="expression" dxfId="58" priority="3">
      <formula>I2="Not Started"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Lists!$B$2:$B$5</xm:f>
          </x14:formula1>
          <xm:sqref>F2:F77</xm:sqref>
        </x14:dataValidation>
        <x14:dataValidation type="list" xr:uid="{00000000-0002-0000-0100-000001000000}">
          <x14:formula1>
            <xm:f>Lists!$C$2:$C$6</xm:f>
          </x14:formula1>
          <xm:sqref>G2:G77</xm:sqref>
        </x14:dataValidation>
        <x14:dataValidation type="list" xr:uid="{00000000-0002-0000-0100-000002000000}">
          <x14:formula1>
            <xm:f>Lists!$A$2:$A$4</xm:f>
          </x14:formula1>
          <xm:sqref>I2:I77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sqref="A1:XFD1048576"/>
    </sheetView>
  </sheetViews>
  <sheetFormatPr defaultRowHeight="14.4"/>
  <cols>
    <col min="1" max="1" width="11" style="11" customWidth="1"/>
    <col min="2" max="2" width="22" style="11" customWidth="1"/>
    <col min="3" max="3" width="30" style="11" customWidth="1"/>
    <col min="4" max="4" width="54" style="11" customWidth="1"/>
    <col min="5" max="5" width="12" style="11" customWidth="1"/>
    <col min="6" max="7" width="15" style="11" customWidth="1"/>
    <col min="8" max="8" width="18" style="11" customWidth="1"/>
    <col min="9" max="9" width="32" style="11" customWidth="1"/>
    <col min="10" max="16384" width="8.796875" style="11"/>
  </cols>
  <sheetData>
    <row r="1" spans="1:9" ht="28.8" customHeight="1">
      <c r="A1" s="13" t="s">
        <v>17</v>
      </c>
      <c r="B1" s="13" t="s">
        <v>294</v>
      </c>
      <c r="C1" s="13" t="s">
        <v>295</v>
      </c>
      <c r="D1" s="13" t="s">
        <v>296</v>
      </c>
      <c r="E1" s="13" t="s">
        <v>1</v>
      </c>
      <c r="F1" s="13" t="s">
        <v>22</v>
      </c>
      <c r="G1" s="13" t="s">
        <v>0</v>
      </c>
      <c r="H1" s="13" t="s">
        <v>24</v>
      </c>
      <c r="I1" s="13" t="s">
        <v>297</v>
      </c>
    </row>
    <row r="2" spans="1:9">
      <c r="A2" s="12" t="s">
        <v>298</v>
      </c>
      <c r="B2" s="12" t="s">
        <v>299</v>
      </c>
      <c r="C2" s="12" t="s">
        <v>300</v>
      </c>
      <c r="D2" s="12" t="s">
        <v>301</v>
      </c>
      <c r="E2" s="12" t="s">
        <v>4</v>
      </c>
      <c r="F2" s="12" t="s">
        <v>5</v>
      </c>
      <c r="G2" s="12" t="s">
        <v>3</v>
      </c>
      <c r="H2" s="12"/>
      <c r="I2" s="12"/>
    </row>
    <row r="3" spans="1:9">
      <c r="A3" s="12" t="s">
        <v>302</v>
      </c>
      <c r="B3" s="12" t="s">
        <v>303</v>
      </c>
      <c r="C3" s="12" t="s">
        <v>304</v>
      </c>
      <c r="D3" s="12" t="s">
        <v>305</v>
      </c>
      <c r="E3" s="12" t="s">
        <v>4</v>
      </c>
      <c r="F3" s="12" t="s">
        <v>5</v>
      </c>
      <c r="G3" s="12" t="s">
        <v>3</v>
      </c>
      <c r="H3" s="12"/>
      <c r="I3" s="12"/>
    </row>
    <row r="4" spans="1:9" ht="28.8">
      <c r="A4" s="12" t="s">
        <v>306</v>
      </c>
      <c r="B4" s="12" t="s">
        <v>303</v>
      </c>
      <c r="C4" s="12" t="s">
        <v>307</v>
      </c>
      <c r="D4" s="12" t="s">
        <v>308</v>
      </c>
      <c r="E4" s="12" t="s">
        <v>4</v>
      </c>
      <c r="F4" s="12" t="s">
        <v>5</v>
      </c>
      <c r="G4" s="12" t="s">
        <v>3</v>
      </c>
      <c r="H4" s="12"/>
      <c r="I4" s="12"/>
    </row>
    <row r="5" spans="1:9">
      <c r="A5" s="12" t="s">
        <v>309</v>
      </c>
      <c r="B5" s="12" t="s">
        <v>303</v>
      </c>
      <c r="C5" s="12" t="s">
        <v>310</v>
      </c>
      <c r="D5" s="12" t="s">
        <v>311</v>
      </c>
      <c r="E5" s="12" t="s">
        <v>4</v>
      </c>
      <c r="F5" s="12" t="s">
        <v>5</v>
      </c>
      <c r="G5" s="12" t="s">
        <v>3</v>
      </c>
      <c r="H5" s="12"/>
      <c r="I5" s="12"/>
    </row>
    <row r="6" spans="1:9">
      <c r="A6" s="12" t="s">
        <v>312</v>
      </c>
      <c r="B6" s="12" t="s">
        <v>303</v>
      </c>
      <c r="C6" s="12" t="s">
        <v>313</v>
      </c>
      <c r="D6" s="12" t="s">
        <v>314</v>
      </c>
      <c r="E6" s="12" t="s">
        <v>4</v>
      </c>
      <c r="F6" s="12" t="s">
        <v>5</v>
      </c>
      <c r="G6" s="12" t="s">
        <v>3</v>
      </c>
      <c r="H6" s="12"/>
      <c r="I6" s="12"/>
    </row>
    <row r="7" spans="1:9">
      <c r="A7" s="12" t="s">
        <v>315</v>
      </c>
      <c r="B7" s="12" t="s">
        <v>316</v>
      </c>
      <c r="C7" s="12" t="s">
        <v>317</v>
      </c>
      <c r="D7" s="12" t="s">
        <v>318</v>
      </c>
      <c r="E7" s="12" t="s">
        <v>4</v>
      </c>
      <c r="F7" s="12" t="s">
        <v>5</v>
      </c>
      <c r="G7" s="12" t="s">
        <v>3</v>
      </c>
      <c r="H7" s="12"/>
      <c r="I7" s="12"/>
    </row>
    <row r="8" spans="1:9" ht="28.8">
      <c r="A8" s="12" t="s">
        <v>319</v>
      </c>
      <c r="B8" s="12" t="s">
        <v>320</v>
      </c>
      <c r="C8" s="12" t="s">
        <v>321</v>
      </c>
      <c r="D8" s="12" t="s">
        <v>322</v>
      </c>
      <c r="E8" s="12" t="s">
        <v>4</v>
      </c>
      <c r="F8" s="12" t="s">
        <v>5</v>
      </c>
      <c r="G8" s="12" t="s">
        <v>3</v>
      </c>
      <c r="H8" s="12"/>
      <c r="I8" s="12"/>
    </row>
    <row r="9" spans="1:9" ht="28.8">
      <c r="A9" s="12" t="s">
        <v>323</v>
      </c>
      <c r="B9" s="12" t="s">
        <v>324</v>
      </c>
      <c r="C9" s="12" t="s">
        <v>325</v>
      </c>
      <c r="D9" s="12" t="s">
        <v>326</v>
      </c>
      <c r="E9" s="12" t="s">
        <v>4</v>
      </c>
      <c r="F9" s="12" t="s">
        <v>5</v>
      </c>
      <c r="G9" s="12" t="s">
        <v>3</v>
      </c>
      <c r="H9" s="12"/>
      <c r="I9" s="12"/>
    </row>
    <row r="10" spans="1:9">
      <c r="A10" s="12" t="s">
        <v>327</v>
      </c>
      <c r="B10" s="12" t="s">
        <v>328</v>
      </c>
      <c r="C10" s="12" t="s">
        <v>329</v>
      </c>
      <c r="D10" s="12" t="s">
        <v>330</v>
      </c>
      <c r="E10" s="12" t="s">
        <v>4</v>
      </c>
      <c r="F10" s="12" t="s">
        <v>5</v>
      </c>
      <c r="G10" s="12" t="s">
        <v>3</v>
      </c>
      <c r="H10" s="12"/>
      <c r="I10" s="12"/>
    </row>
    <row r="11" spans="1:9">
      <c r="A11" s="12" t="s">
        <v>331</v>
      </c>
      <c r="B11" s="12" t="s">
        <v>332</v>
      </c>
      <c r="C11" s="12" t="s">
        <v>333</v>
      </c>
      <c r="D11" s="12" t="s">
        <v>334</v>
      </c>
      <c r="E11" s="12" t="s">
        <v>4</v>
      </c>
      <c r="F11" s="12" t="s">
        <v>5</v>
      </c>
      <c r="G11" s="12" t="s">
        <v>3</v>
      </c>
      <c r="H11" s="12"/>
      <c r="I11" s="12"/>
    </row>
    <row r="12" spans="1:9" ht="28.8">
      <c r="A12" s="12" t="s">
        <v>335</v>
      </c>
      <c r="B12" s="12" t="s">
        <v>336</v>
      </c>
      <c r="C12" s="12" t="s">
        <v>337</v>
      </c>
      <c r="D12" s="12" t="s">
        <v>338</v>
      </c>
      <c r="E12" s="12" t="s">
        <v>4</v>
      </c>
      <c r="F12" s="12" t="s">
        <v>5</v>
      </c>
      <c r="G12" s="12" t="s">
        <v>3</v>
      </c>
      <c r="H12" s="12"/>
      <c r="I12" s="12"/>
    </row>
    <row r="13" spans="1:9" ht="28.8">
      <c r="A13" s="12" t="s">
        <v>339</v>
      </c>
      <c r="B13" s="12" t="s">
        <v>336</v>
      </c>
      <c r="C13" s="12" t="s">
        <v>340</v>
      </c>
      <c r="D13" s="12" t="s">
        <v>341</v>
      </c>
      <c r="E13" s="12" t="s">
        <v>4</v>
      </c>
      <c r="F13" s="12" t="s">
        <v>5</v>
      </c>
      <c r="G13" s="12" t="s">
        <v>3</v>
      </c>
      <c r="H13" s="12"/>
      <c r="I13" s="12"/>
    </row>
    <row r="14" spans="1:9" ht="28.8">
      <c r="A14" s="12" t="s">
        <v>342</v>
      </c>
      <c r="B14" s="12" t="s">
        <v>343</v>
      </c>
      <c r="C14" s="12" t="s">
        <v>344</v>
      </c>
      <c r="D14" s="12" t="s">
        <v>345</v>
      </c>
      <c r="E14" s="12" t="s">
        <v>4</v>
      </c>
      <c r="F14" s="12" t="s">
        <v>5</v>
      </c>
      <c r="G14" s="12" t="s">
        <v>3</v>
      </c>
      <c r="H14" s="12"/>
      <c r="I14" s="12"/>
    </row>
    <row r="15" spans="1:9" ht="28.8">
      <c r="A15" s="12" t="s">
        <v>346</v>
      </c>
      <c r="B15" s="12" t="s">
        <v>347</v>
      </c>
      <c r="C15" s="12" t="s">
        <v>348</v>
      </c>
      <c r="D15" s="12" t="s">
        <v>349</v>
      </c>
      <c r="E15" s="12" t="s">
        <v>4</v>
      </c>
      <c r="F15" s="12" t="s">
        <v>5</v>
      </c>
      <c r="G15" s="12" t="s">
        <v>3</v>
      </c>
      <c r="H15" s="12"/>
      <c r="I15" s="12"/>
    </row>
    <row r="16" spans="1:9">
      <c r="A16" s="12" t="s">
        <v>350</v>
      </c>
      <c r="B16" s="12" t="s">
        <v>205</v>
      </c>
      <c r="C16" s="12" t="s">
        <v>351</v>
      </c>
      <c r="D16" s="12" t="s">
        <v>352</v>
      </c>
      <c r="E16" s="12" t="s">
        <v>4</v>
      </c>
      <c r="F16" s="12" t="s">
        <v>5</v>
      </c>
      <c r="G16" s="12" t="s">
        <v>3</v>
      </c>
      <c r="H16" s="12"/>
      <c r="I16" s="12"/>
    </row>
    <row r="17" spans="1:9">
      <c r="A17" s="12" t="s">
        <v>353</v>
      </c>
      <c r="B17" s="12" t="s">
        <v>205</v>
      </c>
      <c r="C17" s="12" t="s">
        <v>354</v>
      </c>
      <c r="D17" s="12" t="s">
        <v>355</v>
      </c>
      <c r="E17" s="12" t="s">
        <v>4</v>
      </c>
      <c r="F17" s="12" t="s">
        <v>8</v>
      </c>
      <c r="G17" s="12" t="s">
        <v>3</v>
      </c>
      <c r="H17" s="12"/>
      <c r="I17" s="12"/>
    </row>
    <row r="18" spans="1:9">
      <c r="A18" s="12" t="s">
        <v>356</v>
      </c>
      <c r="B18" s="12" t="s">
        <v>205</v>
      </c>
      <c r="C18" s="12" t="s">
        <v>357</v>
      </c>
      <c r="D18" s="12" t="s">
        <v>358</v>
      </c>
      <c r="E18" s="12" t="s">
        <v>4</v>
      </c>
      <c r="F18" s="12" t="s">
        <v>5</v>
      </c>
      <c r="G18" s="12" t="s">
        <v>3</v>
      </c>
      <c r="H18" s="12"/>
      <c r="I18" s="12"/>
    </row>
    <row r="19" spans="1:9">
      <c r="A19" s="12" t="s">
        <v>359</v>
      </c>
      <c r="B19" s="12" t="s">
        <v>360</v>
      </c>
      <c r="C19" s="12" t="s">
        <v>361</v>
      </c>
      <c r="D19" s="12" t="s">
        <v>362</v>
      </c>
      <c r="E19" s="12" t="s">
        <v>4</v>
      </c>
      <c r="F19" s="12" t="s">
        <v>5</v>
      </c>
      <c r="G19" s="12" t="s">
        <v>3</v>
      </c>
      <c r="H19" s="12"/>
      <c r="I19" s="12"/>
    </row>
    <row r="20" spans="1:9" ht="28.8">
      <c r="A20" s="12" t="s">
        <v>363</v>
      </c>
      <c r="B20" s="12" t="s">
        <v>360</v>
      </c>
      <c r="C20" s="12" t="s">
        <v>364</v>
      </c>
      <c r="D20" s="12" t="s">
        <v>365</v>
      </c>
      <c r="E20" s="12" t="s">
        <v>7</v>
      </c>
      <c r="F20" s="12" t="s">
        <v>8</v>
      </c>
      <c r="G20" s="12" t="s">
        <v>3</v>
      </c>
      <c r="H20" s="12"/>
      <c r="I20" s="12"/>
    </row>
    <row r="21" spans="1:9">
      <c r="A21" s="12" t="s">
        <v>366</v>
      </c>
      <c r="B21" s="12" t="s">
        <v>324</v>
      </c>
      <c r="C21" s="12" t="s">
        <v>367</v>
      </c>
      <c r="D21" s="12" t="s">
        <v>368</v>
      </c>
      <c r="E21" s="12" t="s">
        <v>4</v>
      </c>
      <c r="F21" s="12" t="s">
        <v>5</v>
      </c>
      <c r="G21" s="12" t="s">
        <v>3</v>
      </c>
      <c r="H21" s="12"/>
      <c r="I21" s="12"/>
    </row>
    <row r="22" spans="1:9" ht="28.8">
      <c r="A22" s="12" t="s">
        <v>369</v>
      </c>
      <c r="B22" s="12" t="s">
        <v>370</v>
      </c>
      <c r="C22" s="12" t="s">
        <v>371</v>
      </c>
      <c r="D22" s="12" t="s">
        <v>372</v>
      </c>
      <c r="E22" s="12" t="s">
        <v>4</v>
      </c>
      <c r="F22" s="12" t="s">
        <v>5</v>
      </c>
      <c r="G22" s="12" t="s">
        <v>3</v>
      </c>
      <c r="H22" s="12"/>
      <c r="I22" s="12"/>
    </row>
    <row r="23" spans="1:9" ht="28.8">
      <c r="A23" s="12" t="s">
        <v>373</v>
      </c>
      <c r="B23" s="12" t="s">
        <v>374</v>
      </c>
      <c r="C23" s="12" t="s">
        <v>375</v>
      </c>
      <c r="D23" s="12" t="s">
        <v>376</v>
      </c>
      <c r="E23" s="12" t="s">
        <v>4</v>
      </c>
      <c r="F23" s="12" t="s">
        <v>5</v>
      </c>
      <c r="G23" s="12" t="s">
        <v>3</v>
      </c>
      <c r="H23" s="12"/>
      <c r="I23" s="12"/>
    </row>
    <row r="24" spans="1:9" ht="28.8">
      <c r="A24" s="12" t="s">
        <v>377</v>
      </c>
      <c r="B24" s="12" t="s">
        <v>374</v>
      </c>
      <c r="C24" s="12" t="s">
        <v>378</v>
      </c>
      <c r="D24" s="12" t="s">
        <v>379</v>
      </c>
      <c r="E24" s="12" t="s">
        <v>4</v>
      </c>
      <c r="F24" s="12" t="s">
        <v>5</v>
      </c>
      <c r="G24" s="12" t="s">
        <v>3</v>
      </c>
      <c r="H24" s="12"/>
      <c r="I24" s="12"/>
    </row>
    <row r="25" spans="1:9" ht="28.8">
      <c r="A25" s="12" t="s">
        <v>380</v>
      </c>
      <c r="B25" s="12" t="s">
        <v>374</v>
      </c>
      <c r="C25" s="12" t="s">
        <v>381</v>
      </c>
      <c r="D25" s="12" t="s">
        <v>382</v>
      </c>
      <c r="E25" s="12" t="s">
        <v>7</v>
      </c>
      <c r="F25" s="12" t="s">
        <v>5</v>
      </c>
      <c r="G25" s="12" t="s">
        <v>3</v>
      </c>
      <c r="H25" s="12"/>
      <c r="I25" s="12"/>
    </row>
    <row r="26" spans="1:9" ht="28.8">
      <c r="A26" s="12" t="s">
        <v>383</v>
      </c>
      <c r="B26" s="12" t="s">
        <v>384</v>
      </c>
      <c r="C26" s="12" t="s">
        <v>385</v>
      </c>
      <c r="D26" s="12" t="s">
        <v>386</v>
      </c>
      <c r="E26" s="12" t="s">
        <v>7</v>
      </c>
      <c r="F26" s="12" t="s">
        <v>8</v>
      </c>
      <c r="G26" s="12" t="s">
        <v>3</v>
      </c>
      <c r="H26" s="12"/>
      <c r="I26" s="12"/>
    </row>
    <row r="27" spans="1:9">
      <c r="A27" s="12" t="s">
        <v>387</v>
      </c>
      <c r="B27" s="12" t="s">
        <v>388</v>
      </c>
      <c r="C27" s="12" t="s">
        <v>389</v>
      </c>
      <c r="D27" s="12" t="s">
        <v>390</v>
      </c>
      <c r="E27" s="12" t="s">
        <v>4</v>
      </c>
      <c r="F27" s="12" t="s">
        <v>5</v>
      </c>
      <c r="G27" s="12" t="s">
        <v>3</v>
      </c>
      <c r="H27" s="12"/>
      <c r="I27" s="12"/>
    </row>
    <row r="28" spans="1:9">
      <c r="A28" s="12" t="s">
        <v>391</v>
      </c>
      <c r="B28" s="12" t="s">
        <v>392</v>
      </c>
      <c r="C28" s="12" t="s">
        <v>393</v>
      </c>
      <c r="D28" s="12" t="s">
        <v>394</v>
      </c>
      <c r="E28" s="12" t="s">
        <v>7</v>
      </c>
      <c r="F28" s="12" t="s">
        <v>5</v>
      </c>
      <c r="G28" s="12" t="s">
        <v>3</v>
      </c>
      <c r="H28" s="12"/>
      <c r="I28" s="12"/>
    </row>
    <row r="29" spans="1:9">
      <c r="A29" s="12" t="s">
        <v>395</v>
      </c>
      <c r="B29" s="12" t="s">
        <v>396</v>
      </c>
      <c r="C29" s="12" t="s">
        <v>397</v>
      </c>
      <c r="D29" s="12" t="s">
        <v>398</v>
      </c>
      <c r="E29" s="12" t="s">
        <v>4</v>
      </c>
      <c r="F29" s="12" t="s">
        <v>5</v>
      </c>
      <c r="G29" s="12" t="s">
        <v>3</v>
      </c>
      <c r="H29" s="12"/>
      <c r="I29" s="12"/>
    </row>
    <row r="30" spans="1:9">
      <c r="A30" s="12" t="s">
        <v>399</v>
      </c>
      <c r="B30" s="12" t="s">
        <v>400</v>
      </c>
      <c r="C30" s="12" t="s">
        <v>401</v>
      </c>
      <c r="D30" s="12" t="s">
        <v>402</v>
      </c>
      <c r="E30" s="12" t="s">
        <v>7</v>
      </c>
      <c r="F30" s="12" t="s">
        <v>5</v>
      </c>
      <c r="G30" s="12" t="s">
        <v>3</v>
      </c>
      <c r="H30" s="12"/>
      <c r="I30" s="12"/>
    </row>
    <row r="31" spans="1:9">
      <c r="A31" s="12" t="s">
        <v>403</v>
      </c>
      <c r="B31" s="12" t="s">
        <v>404</v>
      </c>
      <c r="C31" s="12" t="s">
        <v>405</v>
      </c>
      <c r="D31" s="12" t="s">
        <v>406</v>
      </c>
      <c r="E31" s="12" t="s">
        <v>7</v>
      </c>
      <c r="F31" s="12" t="s">
        <v>5</v>
      </c>
      <c r="G31" s="12" t="s">
        <v>3</v>
      </c>
      <c r="H31" s="12"/>
      <c r="I31" s="12"/>
    </row>
  </sheetData>
  <conditionalFormatting sqref="G2:G31">
    <cfRule type="expression" dxfId="57" priority="1">
      <formula>G2="Done"</formula>
    </cfRule>
    <cfRule type="expression" dxfId="56" priority="2">
      <formula>G2="In Progress"</formula>
    </cfRule>
    <cfRule type="expression" dxfId="55" priority="3">
      <formula>G2="Not Started"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Lists!$B$2:$B$5</xm:f>
          </x14:formula1>
          <xm:sqref>E2:E31</xm:sqref>
        </x14:dataValidation>
        <x14:dataValidation type="list" xr:uid="{00000000-0002-0000-0200-000001000000}">
          <x14:formula1>
            <xm:f>Lists!$C$2:$C$6</xm:f>
          </x14:formula1>
          <xm:sqref>F2:F31</xm:sqref>
        </x14:dataValidation>
        <x14:dataValidation type="list" xr:uid="{00000000-0002-0000-0200-000002000000}">
          <x14:formula1>
            <xm:f>Lists!$A$2:$A$4</xm:f>
          </x14:formula1>
          <xm:sqref>G2:G31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sqref="A1:XFD1048576"/>
    </sheetView>
  </sheetViews>
  <sheetFormatPr defaultRowHeight="14.4"/>
  <cols>
    <col min="1" max="1" width="11" style="11" customWidth="1"/>
    <col min="2" max="2" width="22" style="11" customWidth="1"/>
    <col min="3" max="3" width="30" style="11" customWidth="1"/>
    <col min="4" max="4" width="54" style="11" customWidth="1"/>
    <col min="5" max="5" width="12" style="11" customWidth="1"/>
    <col min="6" max="7" width="15" style="11" customWidth="1"/>
    <col min="8" max="8" width="18" style="11" customWidth="1"/>
    <col min="9" max="9" width="32" style="11" customWidth="1"/>
    <col min="10" max="16384" width="8.796875" style="11"/>
  </cols>
  <sheetData>
    <row r="1" spans="1:9" ht="28.8" customHeight="1">
      <c r="A1" s="14" t="s">
        <v>17</v>
      </c>
      <c r="B1" s="14" t="s">
        <v>407</v>
      </c>
      <c r="C1" s="14" t="s">
        <v>408</v>
      </c>
      <c r="D1" s="14" t="s">
        <v>296</v>
      </c>
      <c r="E1" s="14" t="s">
        <v>1</v>
      </c>
      <c r="F1" s="14" t="s">
        <v>22</v>
      </c>
      <c r="G1" s="14" t="s">
        <v>0</v>
      </c>
      <c r="H1" s="14" t="s">
        <v>24</v>
      </c>
      <c r="I1" s="14" t="s">
        <v>297</v>
      </c>
    </row>
    <row r="2" spans="1:9" ht="28.8">
      <c r="A2" s="12" t="s">
        <v>409</v>
      </c>
      <c r="B2" s="12" t="s">
        <v>410</v>
      </c>
      <c r="C2" s="12" t="s">
        <v>411</v>
      </c>
      <c r="D2" s="12" t="s">
        <v>412</v>
      </c>
      <c r="E2" s="12" t="s">
        <v>7</v>
      </c>
      <c r="F2" s="12" t="s">
        <v>5</v>
      </c>
      <c r="G2" s="12" t="s">
        <v>3</v>
      </c>
      <c r="H2" s="12"/>
      <c r="I2" s="12"/>
    </row>
    <row r="3" spans="1:9" ht="28.8">
      <c r="A3" s="12" t="s">
        <v>413</v>
      </c>
      <c r="B3" s="12" t="s">
        <v>414</v>
      </c>
      <c r="C3" s="12" t="s">
        <v>415</v>
      </c>
      <c r="D3" s="12" t="s">
        <v>416</v>
      </c>
      <c r="E3" s="12" t="s">
        <v>7</v>
      </c>
      <c r="F3" s="12" t="s">
        <v>5</v>
      </c>
      <c r="G3" s="12" t="s">
        <v>3</v>
      </c>
      <c r="H3" s="12"/>
      <c r="I3" s="12"/>
    </row>
    <row r="4" spans="1:9" ht="28.8">
      <c r="A4" s="12" t="s">
        <v>417</v>
      </c>
      <c r="B4" s="12" t="s">
        <v>418</v>
      </c>
      <c r="C4" s="12" t="s">
        <v>419</v>
      </c>
      <c r="D4" s="12" t="s">
        <v>420</v>
      </c>
      <c r="E4" s="12" t="s">
        <v>4</v>
      </c>
      <c r="F4" s="12" t="s">
        <v>5</v>
      </c>
      <c r="G4" s="12" t="s">
        <v>3</v>
      </c>
      <c r="H4" s="12"/>
      <c r="I4" s="12"/>
    </row>
    <row r="5" spans="1:9">
      <c r="A5" s="12" t="s">
        <v>421</v>
      </c>
      <c r="B5" s="12" t="s">
        <v>418</v>
      </c>
      <c r="C5" s="12" t="s">
        <v>422</v>
      </c>
      <c r="D5" s="12" t="s">
        <v>423</v>
      </c>
      <c r="E5" s="12" t="s">
        <v>4</v>
      </c>
      <c r="F5" s="12" t="s">
        <v>5</v>
      </c>
      <c r="G5" s="12" t="s">
        <v>3</v>
      </c>
      <c r="H5" s="12"/>
      <c r="I5" s="12"/>
    </row>
    <row r="6" spans="1:9" ht="28.8">
      <c r="A6" s="12" t="s">
        <v>424</v>
      </c>
      <c r="B6" s="12" t="s">
        <v>425</v>
      </c>
      <c r="C6" s="12" t="s">
        <v>426</v>
      </c>
      <c r="D6" s="12" t="s">
        <v>427</v>
      </c>
      <c r="E6" s="12" t="s">
        <v>4</v>
      </c>
      <c r="F6" s="12" t="s">
        <v>5</v>
      </c>
      <c r="G6" s="12" t="s">
        <v>3</v>
      </c>
      <c r="H6" s="12"/>
      <c r="I6" s="12"/>
    </row>
    <row r="7" spans="1:9" ht="28.8">
      <c r="A7" s="12" t="s">
        <v>428</v>
      </c>
      <c r="B7" s="12" t="s">
        <v>425</v>
      </c>
      <c r="C7" s="12" t="s">
        <v>429</v>
      </c>
      <c r="D7" s="12" t="s">
        <v>430</v>
      </c>
      <c r="E7" s="12" t="s">
        <v>7</v>
      </c>
      <c r="F7" s="12" t="s">
        <v>5</v>
      </c>
      <c r="G7" s="12" t="s">
        <v>3</v>
      </c>
      <c r="H7" s="12"/>
      <c r="I7" s="12"/>
    </row>
    <row r="8" spans="1:9" ht="28.8">
      <c r="A8" s="12" t="s">
        <v>431</v>
      </c>
      <c r="B8" s="12" t="s">
        <v>432</v>
      </c>
      <c r="C8" s="12" t="s">
        <v>433</v>
      </c>
      <c r="D8" s="12" t="s">
        <v>434</v>
      </c>
      <c r="E8" s="12" t="s">
        <v>4</v>
      </c>
      <c r="F8" s="12" t="s">
        <v>5</v>
      </c>
      <c r="G8" s="12" t="s">
        <v>3</v>
      </c>
      <c r="H8" s="12"/>
      <c r="I8" s="12"/>
    </row>
    <row r="9" spans="1:9">
      <c r="A9" s="12" t="s">
        <v>435</v>
      </c>
      <c r="B9" s="12" t="s">
        <v>432</v>
      </c>
      <c r="C9" s="12" t="s">
        <v>436</v>
      </c>
      <c r="D9" s="12" t="s">
        <v>437</v>
      </c>
      <c r="E9" s="12" t="s">
        <v>4</v>
      </c>
      <c r="F9" s="12" t="s">
        <v>5</v>
      </c>
      <c r="G9" s="12" t="s">
        <v>3</v>
      </c>
      <c r="H9" s="12"/>
      <c r="I9" s="12"/>
    </row>
    <row r="10" spans="1:9" ht="28.8">
      <c r="A10" s="12" t="s">
        <v>438</v>
      </c>
      <c r="B10" s="12" t="s">
        <v>432</v>
      </c>
      <c r="C10" s="12" t="s">
        <v>439</v>
      </c>
      <c r="D10" s="12" t="s">
        <v>440</v>
      </c>
      <c r="E10" s="12" t="s">
        <v>7</v>
      </c>
      <c r="F10" s="12" t="s">
        <v>5</v>
      </c>
      <c r="G10" s="12" t="s">
        <v>3</v>
      </c>
      <c r="H10" s="12"/>
      <c r="I10" s="12"/>
    </row>
    <row r="11" spans="1:9">
      <c r="A11" s="12" t="s">
        <v>441</v>
      </c>
      <c r="B11" s="12" t="s">
        <v>432</v>
      </c>
      <c r="C11" s="12" t="s">
        <v>442</v>
      </c>
      <c r="D11" s="12" t="s">
        <v>443</v>
      </c>
      <c r="E11" s="12" t="s">
        <v>4</v>
      </c>
      <c r="F11" s="12" t="s">
        <v>5</v>
      </c>
      <c r="G11" s="12" t="s">
        <v>3</v>
      </c>
      <c r="H11" s="12"/>
      <c r="I11" s="12"/>
    </row>
    <row r="12" spans="1:9" ht="28.8">
      <c r="A12" s="12" t="s">
        <v>444</v>
      </c>
      <c r="B12" s="12" t="s">
        <v>445</v>
      </c>
      <c r="C12" s="12" t="s">
        <v>446</v>
      </c>
      <c r="D12" s="12" t="s">
        <v>447</v>
      </c>
      <c r="E12" s="12" t="s">
        <v>7</v>
      </c>
      <c r="F12" s="12" t="s">
        <v>5</v>
      </c>
      <c r="G12" s="12" t="s">
        <v>3</v>
      </c>
      <c r="H12" s="12"/>
      <c r="I12" s="12"/>
    </row>
    <row r="13" spans="1:9" ht="28.8">
      <c r="A13" s="12" t="s">
        <v>448</v>
      </c>
      <c r="B13" s="12" t="s">
        <v>445</v>
      </c>
      <c r="C13" s="12" t="s">
        <v>449</v>
      </c>
      <c r="D13" s="12" t="s">
        <v>450</v>
      </c>
      <c r="E13" s="12" t="s">
        <v>7</v>
      </c>
      <c r="F13" s="12" t="s">
        <v>5</v>
      </c>
      <c r="G13" s="12" t="s">
        <v>3</v>
      </c>
      <c r="H13" s="12"/>
      <c r="I13" s="12"/>
    </row>
    <row r="14" spans="1:9">
      <c r="A14" s="12" t="s">
        <v>451</v>
      </c>
      <c r="B14" s="12" t="s">
        <v>303</v>
      </c>
      <c r="C14" s="12" t="s">
        <v>452</v>
      </c>
      <c r="D14" s="12" t="s">
        <v>453</v>
      </c>
      <c r="E14" s="12" t="s">
        <v>4</v>
      </c>
      <c r="F14" s="12" t="s">
        <v>5</v>
      </c>
      <c r="G14" s="12" t="s">
        <v>3</v>
      </c>
      <c r="H14" s="12"/>
      <c r="I14" s="12"/>
    </row>
    <row r="15" spans="1:9" ht="28.8">
      <c r="A15" s="12" t="s">
        <v>454</v>
      </c>
      <c r="B15" s="12" t="s">
        <v>455</v>
      </c>
      <c r="C15" s="12" t="s">
        <v>456</v>
      </c>
      <c r="D15" s="12" t="s">
        <v>457</v>
      </c>
      <c r="E15" s="12" t="s">
        <v>4</v>
      </c>
      <c r="F15" s="12" t="s">
        <v>5</v>
      </c>
      <c r="G15" s="12" t="s">
        <v>3</v>
      </c>
      <c r="H15" s="12"/>
      <c r="I15" s="12"/>
    </row>
    <row r="16" spans="1:9">
      <c r="A16" s="12" t="s">
        <v>458</v>
      </c>
      <c r="B16" s="12" t="s">
        <v>459</v>
      </c>
      <c r="C16" s="12" t="s">
        <v>460</v>
      </c>
      <c r="D16" s="12" t="s">
        <v>461</v>
      </c>
      <c r="E16" s="12" t="s">
        <v>7</v>
      </c>
      <c r="F16" s="12" t="s">
        <v>5</v>
      </c>
      <c r="G16" s="12" t="s">
        <v>3</v>
      </c>
      <c r="H16" s="12"/>
      <c r="I16" s="12"/>
    </row>
    <row r="17" spans="1:9" ht="28.8">
      <c r="A17" s="12" t="s">
        <v>462</v>
      </c>
      <c r="B17" s="12" t="s">
        <v>459</v>
      </c>
      <c r="C17" s="12" t="s">
        <v>463</v>
      </c>
      <c r="D17" s="12" t="s">
        <v>464</v>
      </c>
      <c r="E17" s="12" t="s">
        <v>7</v>
      </c>
      <c r="F17" s="12" t="s">
        <v>5</v>
      </c>
      <c r="G17" s="12" t="s">
        <v>3</v>
      </c>
      <c r="H17" s="12"/>
      <c r="I17" s="12"/>
    </row>
    <row r="18" spans="1:9">
      <c r="A18" s="12" t="s">
        <v>465</v>
      </c>
      <c r="B18" s="12" t="s">
        <v>466</v>
      </c>
      <c r="C18" s="12" t="s">
        <v>467</v>
      </c>
      <c r="D18" s="12" t="s">
        <v>468</v>
      </c>
      <c r="E18" s="12" t="s">
        <v>7</v>
      </c>
      <c r="F18" s="12" t="s">
        <v>5</v>
      </c>
      <c r="G18" s="12" t="s">
        <v>3</v>
      </c>
      <c r="H18" s="12"/>
      <c r="I18" s="12"/>
    </row>
    <row r="19" spans="1:9" ht="28.8">
      <c r="A19" s="12" t="s">
        <v>469</v>
      </c>
      <c r="B19" s="12" t="s">
        <v>466</v>
      </c>
      <c r="C19" s="12" t="s">
        <v>470</v>
      </c>
      <c r="D19" s="12" t="s">
        <v>471</v>
      </c>
      <c r="E19" s="12" t="s">
        <v>7</v>
      </c>
      <c r="F19" s="12" t="s">
        <v>5</v>
      </c>
      <c r="G19" s="12" t="s">
        <v>3</v>
      </c>
      <c r="H19" s="12"/>
      <c r="I19" s="12"/>
    </row>
    <row r="20" spans="1:9" ht="28.8">
      <c r="A20" s="12" t="s">
        <v>472</v>
      </c>
      <c r="B20" s="12" t="s">
        <v>473</v>
      </c>
      <c r="C20" s="12" t="s">
        <v>474</v>
      </c>
      <c r="D20" s="12" t="s">
        <v>475</v>
      </c>
      <c r="E20" s="12" t="s">
        <v>10</v>
      </c>
      <c r="F20" s="12" t="s">
        <v>8</v>
      </c>
      <c r="G20" s="12" t="s">
        <v>3</v>
      </c>
      <c r="H20" s="12"/>
      <c r="I20" s="12"/>
    </row>
    <row r="21" spans="1:9" ht="28.8">
      <c r="A21" s="12" t="s">
        <v>476</v>
      </c>
      <c r="B21" s="12" t="s">
        <v>477</v>
      </c>
      <c r="C21" s="12" t="s">
        <v>478</v>
      </c>
      <c r="D21" s="12" t="s">
        <v>479</v>
      </c>
      <c r="E21" s="12" t="s">
        <v>4</v>
      </c>
      <c r="F21" s="12" t="s">
        <v>5</v>
      </c>
      <c r="G21" s="12" t="s">
        <v>3</v>
      </c>
      <c r="H21" s="12"/>
      <c r="I21" s="12"/>
    </row>
    <row r="22" spans="1:9">
      <c r="A22" s="12" t="s">
        <v>480</v>
      </c>
      <c r="B22" s="12" t="s">
        <v>477</v>
      </c>
      <c r="C22" s="12" t="s">
        <v>481</v>
      </c>
      <c r="D22" s="12" t="s">
        <v>482</v>
      </c>
      <c r="E22" s="12" t="s">
        <v>7</v>
      </c>
      <c r="F22" s="12" t="s">
        <v>5</v>
      </c>
      <c r="G22" s="12" t="s">
        <v>3</v>
      </c>
      <c r="H22" s="12"/>
      <c r="I22" s="12"/>
    </row>
    <row r="23" spans="1:9">
      <c r="A23" s="12" t="s">
        <v>483</v>
      </c>
      <c r="B23" s="12" t="s">
        <v>404</v>
      </c>
      <c r="C23" s="12" t="s">
        <v>484</v>
      </c>
      <c r="D23" s="12" t="s">
        <v>485</v>
      </c>
      <c r="E23" s="12" t="s">
        <v>7</v>
      </c>
      <c r="F23" s="12" t="s">
        <v>5</v>
      </c>
      <c r="G23" s="12" t="s">
        <v>3</v>
      </c>
      <c r="H23" s="12"/>
      <c r="I23" s="12"/>
    </row>
    <row r="24" spans="1:9" ht="28.8">
      <c r="A24" s="12" t="s">
        <v>486</v>
      </c>
      <c r="B24" s="12" t="s">
        <v>487</v>
      </c>
      <c r="C24" s="12" t="s">
        <v>488</v>
      </c>
      <c r="D24" s="12" t="s">
        <v>489</v>
      </c>
      <c r="E24" s="12" t="s">
        <v>7</v>
      </c>
      <c r="F24" s="12" t="s">
        <v>5</v>
      </c>
      <c r="G24" s="12" t="s">
        <v>3</v>
      </c>
      <c r="H24" s="12"/>
      <c r="I24" s="12"/>
    </row>
    <row r="25" spans="1:9" ht="28.8">
      <c r="A25" s="12" t="s">
        <v>490</v>
      </c>
      <c r="B25" s="12" t="s">
        <v>491</v>
      </c>
      <c r="C25" s="12" t="s">
        <v>492</v>
      </c>
      <c r="D25" s="12" t="s">
        <v>493</v>
      </c>
      <c r="E25" s="12" t="s">
        <v>4</v>
      </c>
      <c r="F25" s="12" t="s">
        <v>5</v>
      </c>
      <c r="G25" s="12" t="s">
        <v>3</v>
      </c>
      <c r="H25" s="12"/>
      <c r="I25" s="12"/>
    </row>
    <row r="26" spans="1:9">
      <c r="A26" s="12" t="s">
        <v>494</v>
      </c>
      <c r="B26" s="12" t="s">
        <v>432</v>
      </c>
      <c r="C26" s="12" t="s">
        <v>495</v>
      </c>
      <c r="D26" s="12" t="s">
        <v>496</v>
      </c>
      <c r="E26" s="12" t="s">
        <v>10</v>
      </c>
      <c r="F26" s="12" t="s">
        <v>8</v>
      </c>
      <c r="G26" s="12" t="s">
        <v>3</v>
      </c>
      <c r="H26" s="12"/>
      <c r="I26" s="12"/>
    </row>
  </sheetData>
  <conditionalFormatting sqref="G2:G26">
    <cfRule type="expression" dxfId="54" priority="1">
      <formula>G2="Done"</formula>
    </cfRule>
    <cfRule type="expression" dxfId="53" priority="2">
      <formula>G2="In Progress"</formula>
    </cfRule>
    <cfRule type="expression" dxfId="52" priority="3">
      <formula>G2="Not Started"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Lists!$B$2:$B$5</xm:f>
          </x14:formula1>
          <xm:sqref>E2:E26</xm:sqref>
        </x14:dataValidation>
        <x14:dataValidation type="list" xr:uid="{00000000-0002-0000-0300-000001000000}">
          <x14:formula1>
            <xm:f>Lists!$C$2:$C$6</xm:f>
          </x14:formula1>
          <xm:sqref>F2:F26</xm:sqref>
        </x14:dataValidation>
        <x14:dataValidation type="list" xr:uid="{00000000-0002-0000-0300-000002000000}">
          <x14:formula1>
            <xm:f>Lists!$A$2:$A$4</xm:f>
          </x14:formula1>
          <xm:sqref>G2:G26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workbookViewId="0">
      <selection sqref="A1:XFD1048576"/>
    </sheetView>
  </sheetViews>
  <sheetFormatPr defaultRowHeight="14.4"/>
  <cols>
    <col min="1" max="1" width="9" style="11" customWidth="1"/>
    <col min="2" max="2" width="16" style="11" customWidth="1"/>
    <col min="3" max="3" width="38" style="11" customWidth="1"/>
    <col min="4" max="4" width="48" style="11" customWidth="1"/>
    <col min="5" max="6" width="15" style="11" customWidth="1"/>
    <col min="7" max="7" width="18" style="11" customWidth="1"/>
    <col min="8" max="8" width="30" style="11" customWidth="1"/>
    <col min="9" max="16384" width="8.796875" style="11"/>
  </cols>
  <sheetData>
    <row r="1" spans="1:8" ht="28.8" customHeight="1">
      <c r="A1" s="15" t="s">
        <v>497</v>
      </c>
      <c r="B1" s="15" t="s">
        <v>498</v>
      </c>
      <c r="C1" s="15" t="s">
        <v>499</v>
      </c>
      <c r="D1" s="15" t="s">
        <v>500</v>
      </c>
      <c r="E1" s="15" t="s">
        <v>501</v>
      </c>
      <c r="F1" s="15" t="s">
        <v>0</v>
      </c>
      <c r="G1" s="15" t="s">
        <v>24</v>
      </c>
      <c r="H1" s="15" t="s">
        <v>25</v>
      </c>
    </row>
    <row r="2" spans="1:8">
      <c r="A2" s="12">
        <v>1</v>
      </c>
      <c r="B2" s="12" t="s">
        <v>502</v>
      </c>
      <c r="C2" s="12" t="s">
        <v>503</v>
      </c>
      <c r="D2" s="12" t="s">
        <v>504</v>
      </c>
      <c r="E2" s="12"/>
      <c r="F2" s="12" t="s">
        <v>3</v>
      </c>
      <c r="G2" s="12"/>
      <c r="H2" s="12"/>
    </row>
    <row r="3" spans="1:8" ht="28.8">
      <c r="A3" s="12">
        <v>2</v>
      </c>
      <c r="B3" s="12" t="s">
        <v>502</v>
      </c>
      <c r="C3" s="12" t="s">
        <v>505</v>
      </c>
      <c r="D3" s="12" t="s">
        <v>506</v>
      </c>
      <c r="E3" s="12" t="s">
        <v>507</v>
      </c>
      <c r="F3" s="12" t="s">
        <v>3</v>
      </c>
      <c r="G3" s="12"/>
      <c r="H3" s="12"/>
    </row>
    <row r="4" spans="1:8">
      <c r="A4" s="12">
        <v>3</v>
      </c>
      <c r="B4" s="12" t="s">
        <v>502</v>
      </c>
      <c r="C4" s="12" t="s">
        <v>508</v>
      </c>
      <c r="D4" s="12" t="s">
        <v>509</v>
      </c>
      <c r="E4" s="12" t="s">
        <v>510</v>
      </c>
      <c r="F4" s="12" t="s">
        <v>3</v>
      </c>
      <c r="G4" s="12"/>
      <c r="H4" s="12"/>
    </row>
    <row r="5" spans="1:8">
      <c r="A5" s="12">
        <v>4</v>
      </c>
      <c r="B5" s="12" t="s">
        <v>502</v>
      </c>
      <c r="C5" s="12" t="s">
        <v>511</v>
      </c>
      <c r="D5" s="12" t="s">
        <v>512</v>
      </c>
      <c r="E5" s="12" t="s">
        <v>507</v>
      </c>
      <c r="F5" s="12" t="s">
        <v>3</v>
      </c>
      <c r="G5" s="12"/>
      <c r="H5" s="12"/>
    </row>
    <row r="6" spans="1:8">
      <c r="A6" s="12">
        <v>5</v>
      </c>
      <c r="B6" s="12" t="s">
        <v>502</v>
      </c>
      <c r="C6" s="12" t="s">
        <v>513</v>
      </c>
      <c r="D6" s="12" t="s">
        <v>514</v>
      </c>
      <c r="E6" s="12" t="s">
        <v>515</v>
      </c>
      <c r="F6" s="12" t="s">
        <v>3</v>
      </c>
      <c r="G6" s="12"/>
      <c r="H6" s="12"/>
    </row>
    <row r="7" spans="1:8" ht="28.8">
      <c r="A7" s="12">
        <v>6</v>
      </c>
      <c r="B7" s="12" t="s">
        <v>502</v>
      </c>
      <c r="C7" s="12" t="s">
        <v>516</v>
      </c>
      <c r="D7" s="12" t="s">
        <v>517</v>
      </c>
      <c r="E7" s="12" t="s">
        <v>507</v>
      </c>
      <c r="F7" s="12" t="s">
        <v>3</v>
      </c>
      <c r="G7" s="12"/>
      <c r="H7" s="12"/>
    </row>
    <row r="8" spans="1:8">
      <c r="A8" s="12">
        <v>7</v>
      </c>
      <c r="B8" s="12" t="s">
        <v>502</v>
      </c>
      <c r="C8" s="12" t="s">
        <v>518</v>
      </c>
      <c r="D8" s="12" t="s">
        <v>519</v>
      </c>
      <c r="E8" s="12" t="s">
        <v>507</v>
      </c>
      <c r="F8" s="12" t="s">
        <v>3</v>
      </c>
      <c r="G8" s="12"/>
      <c r="H8" s="12"/>
    </row>
    <row r="9" spans="1:8">
      <c r="A9" s="12">
        <v>8</v>
      </c>
      <c r="B9" s="12" t="s">
        <v>502</v>
      </c>
      <c r="C9" s="12" t="s">
        <v>520</v>
      </c>
      <c r="D9" s="12" t="s">
        <v>521</v>
      </c>
      <c r="E9" s="12" t="s">
        <v>522</v>
      </c>
      <c r="F9" s="12" t="s">
        <v>3</v>
      </c>
      <c r="G9" s="12"/>
      <c r="H9" s="12"/>
    </row>
    <row r="10" spans="1:8" ht="28.8">
      <c r="A10" s="12">
        <v>9</v>
      </c>
      <c r="B10" s="12" t="s">
        <v>502</v>
      </c>
      <c r="C10" s="12" t="s">
        <v>523</v>
      </c>
      <c r="D10" s="12" t="s">
        <v>524</v>
      </c>
      <c r="E10" s="12" t="s">
        <v>525</v>
      </c>
      <c r="F10" s="12" t="s">
        <v>3</v>
      </c>
      <c r="G10" s="12"/>
      <c r="H10" s="12"/>
    </row>
    <row r="11" spans="1:8">
      <c r="A11" s="12">
        <v>10</v>
      </c>
      <c r="B11" s="12" t="s">
        <v>502</v>
      </c>
      <c r="C11" s="12" t="s">
        <v>526</v>
      </c>
      <c r="D11" s="12" t="s">
        <v>527</v>
      </c>
      <c r="E11" s="12" t="s">
        <v>528</v>
      </c>
      <c r="F11" s="12" t="s">
        <v>3</v>
      </c>
      <c r="G11" s="12"/>
      <c r="H11" s="12"/>
    </row>
    <row r="12" spans="1:8" ht="28.8">
      <c r="A12" s="12">
        <v>11</v>
      </c>
      <c r="B12" s="12" t="s">
        <v>502</v>
      </c>
      <c r="C12" s="12" t="s">
        <v>529</v>
      </c>
      <c r="D12" s="12" t="s">
        <v>530</v>
      </c>
      <c r="E12" s="12" t="s">
        <v>531</v>
      </c>
      <c r="F12" s="12" t="s">
        <v>3</v>
      </c>
      <c r="G12" s="12"/>
      <c r="H12" s="12"/>
    </row>
    <row r="13" spans="1:8">
      <c r="A13" s="12">
        <v>12</v>
      </c>
      <c r="B13" s="12" t="s">
        <v>502</v>
      </c>
      <c r="C13" s="12" t="s">
        <v>532</v>
      </c>
      <c r="D13" s="12" t="s">
        <v>533</v>
      </c>
      <c r="E13" s="12" t="s">
        <v>534</v>
      </c>
      <c r="F13" s="12" t="s">
        <v>3</v>
      </c>
      <c r="G13" s="12"/>
      <c r="H13" s="12"/>
    </row>
    <row r="14" spans="1:8" ht="28.8">
      <c r="A14" s="12">
        <v>13</v>
      </c>
      <c r="B14" s="12" t="s">
        <v>535</v>
      </c>
      <c r="C14" s="12" t="s">
        <v>536</v>
      </c>
      <c r="D14" s="12" t="s">
        <v>537</v>
      </c>
      <c r="E14" s="12" t="s">
        <v>538</v>
      </c>
      <c r="F14" s="12" t="s">
        <v>3</v>
      </c>
      <c r="G14" s="12"/>
      <c r="H14" s="12"/>
    </row>
    <row r="15" spans="1:8">
      <c r="A15" s="12">
        <v>14</v>
      </c>
      <c r="B15" s="12" t="s">
        <v>535</v>
      </c>
      <c r="C15" s="12" t="s">
        <v>539</v>
      </c>
      <c r="D15" s="12" t="s">
        <v>540</v>
      </c>
      <c r="E15" s="12" t="s">
        <v>541</v>
      </c>
      <c r="F15" s="12" t="s">
        <v>3</v>
      </c>
      <c r="G15" s="12"/>
      <c r="H15" s="12"/>
    </row>
    <row r="16" spans="1:8">
      <c r="A16" s="12">
        <v>15</v>
      </c>
      <c r="B16" s="12" t="s">
        <v>542</v>
      </c>
      <c r="C16" s="12" t="s">
        <v>543</v>
      </c>
      <c r="D16" s="12" t="s">
        <v>544</v>
      </c>
      <c r="E16" s="12" t="s">
        <v>541</v>
      </c>
      <c r="F16" s="12" t="s">
        <v>3</v>
      </c>
      <c r="G16" s="12"/>
      <c r="H16" s="12"/>
    </row>
    <row r="17" spans="1:8" ht="28.8">
      <c r="A17" s="12">
        <v>16</v>
      </c>
      <c r="B17" s="12" t="s">
        <v>545</v>
      </c>
      <c r="C17" s="12" t="s">
        <v>546</v>
      </c>
      <c r="D17" s="12" t="s">
        <v>547</v>
      </c>
      <c r="E17" s="12" t="s">
        <v>548</v>
      </c>
      <c r="F17" s="12" t="s">
        <v>3</v>
      </c>
      <c r="G17" s="12"/>
      <c r="H17" s="12"/>
    </row>
    <row r="18" spans="1:8">
      <c r="A18" s="12">
        <v>17</v>
      </c>
      <c r="B18" s="12" t="s">
        <v>545</v>
      </c>
      <c r="C18" s="12" t="s">
        <v>549</v>
      </c>
      <c r="D18" s="12" t="s">
        <v>550</v>
      </c>
      <c r="E18" s="12" t="s">
        <v>551</v>
      </c>
      <c r="F18" s="12" t="s">
        <v>3</v>
      </c>
      <c r="G18" s="12"/>
      <c r="H18" s="12"/>
    </row>
    <row r="19" spans="1:8" ht="28.8">
      <c r="A19" s="12">
        <v>18</v>
      </c>
      <c r="B19" s="12" t="s">
        <v>545</v>
      </c>
      <c r="C19" s="12" t="s">
        <v>552</v>
      </c>
      <c r="D19" s="12" t="s">
        <v>553</v>
      </c>
      <c r="E19" s="12" t="s">
        <v>554</v>
      </c>
      <c r="F19" s="12" t="s">
        <v>3</v>
      </c>
      <c r="G19" s="12"/>
      <c r="H19" s="12"/>
    </row>
    <row r="20" spans="1:8">
      <c r="A20" s="12">
        <v>19</v>
      </c>
      <c r="B20" s="12" t="s">
        <v>545</v>
      </c>
      <c r="C20" s="12" t="s">
        <v>555</v>
      </c>
      <c r="D20" s="12" t="s">
        <v>556</v>
      </c>
      <c r="E20" s="12" t="s">
        <v>551</v>
      </c>
      <c r="F20" s="12" t="s">
        <v>3</v>
      </c>
      <c r="G20" s="12"/>
      <c r="H20" s="12"/>
    </row>
    <row r="21" spans="1:8">
      <c r="A21" s="12">
        <v>20</v>
      </c>
      <c r="B21" s="12" t="s">
        <v>545</v>
      </c>
      <c r="C21" s="12" t="s">
        <v>557</v>
      </c>
      <c r="D21" s="12" t="s">
        <v>558</v>
      </c>
      <c r="E21" s="12" t="s">
        <v>551</v>
      </c>
      <c r="F21" s="12" t="s">
        <v>3</v>
      </c>
      <c r="G21" s="12"/>
      <c r="H21" s="12"/>
    </row>
    <row r="22" spans="1:8">
      <c r="A22" s="12">
        <v>21</v>
      </c>
      <c r="B22" s="12" t="s">
        <v>545</v>
      </c>
      <c r="C22" s="12" t="s">
        <v>559</v>
      </c>
      <c r="D22" s="12" t="s">
        <v>560</v>
      </c>
      <c r="E22" s="12" t="s">
        <v>561</v>
      </c>
      <c r="F22" s="12" t="s">
        <v>3</v>
      </c>
      <c r="G22" s="12"/>
      <c r="H22" s="12"/>
    </row>
    <row r="23" spans="1:8">
      <c r="A23" s="12">
        <v>22</v>
      </c>
      <c r="B23" s="12" t="s">
        <v>545</v>
      </c>
      <c r="C23" s="12" t="s">
        <v>562</v>
      </c>
      <c r="D23" s="12" t="s">
        <v>563</v>
      </c>
      <c r="E23" s="12" t="s">
        <v>564</v>
      </c>
      <c r="F23" s="12" t="s">
        <v>3</v>
      </c>
      <c r="G23" s="12"/>
      <c r="H23" s="12"/>
    </row>
    <row r="24" spans="1:8">
      <c r="A24" s="12">
        <v>23</v>
      </c>
      <c r="B24" s="12" t="s">
        <v>545</v>
      </c>
      <c r="C24" s="12" t="s">
        <v>565</v>
      </c>
      <c r="D24" s="12" t="s">
        <v>566</v>
      </c>
      <c r="E24" s="12" t="s">
        <v>567</v>
      </c>
      <c r="F24" s="12" t="s">
        <v>3</v>
      </c>
      <c r="G24" s="12"/>
      <c r="H24" s="12"/>
    </row>
    <row r="25" spans="1:8" ht="28.8">
      <c r="A25" s="12">
        <v>24</v>
      </c>
      <c r="B25" s="12" t="s">
        <v>568</v>
      </c>
      <c r="C25" s="12" t="s">
        <v>569</v>
      </c>
      <c r="D25" s="12" t="s">
        <v>570</v>
      </c>
      <c r="E25" s="12" t="s">
        <v>571</v>
      </c>
      <c r="F25" s="12" t="s">
        <v>3</v>
      </c>
      <c r="G25" s="12"/>
      <c r="H25" s="12"/>
    </row>
    <row r="26" spans="1:8" ht="28.8">
      <c r="A26" s="12">
        <v>25</v>
      </c>
      <c r="B26" s="12" t="s">
        <v>568</v>
      </c>
      <c r="C26" s="12" t="s">
        <v>572</v>
      </c>
      <c r="D26" s="12" t="s">
        <v>573</v>
      </c>
      <c r="E26" s="12" t="s">
        <v>574</v>
      </c>
      <c r="F26" s="12" t="s">
        <v>3</v>
      </c>
      <c r="G26" s="12"/>
      <c r="H26" s="12"/>
    </row>
    <row r="27" spans="1:8" ht="28.8">
      <c r="A27" s="12">
        <v>26</v>
      </c>
      <c r="B27" s="12" t="s">
        <v>568</v>
      </c>
      <c r="C27" s="12" t="s">
        <v>575</v>
      </c>
      <c r="D27" s="12" t="s">
        <v>576</v>
      </c>
      <c r="E27" s="12" t="s">
        <v>574</v>
      </c>
      <c r="F27" s="12" t="s">
        <v>3</v>
      </c>
      <c r="G27" s="12"/>
      <c r="H27" s="12"/>
    </row>
    <row r="28" spans="1:8" ht="28.8">
      <c r="A28" s="12">
        <v>27</v>
      </c>
      <c r="B28" s="12" t="s">
        <v>568</v>
      </c>
      <c r="C28" s="12" t="s">
        <v>577</v>
      </c>
      <c r="D28" s="12" t="s">
        <v>578</v>
      </c>
      <c r="E28" s="12" t="s">
        <v>574</v>
      </c>
      <c r="F28" s="12" t="s">
        <v>3</v>
      </c>
      <c r="G28" s="12"/>
      <c r="H28" s="12"/>
    </row>
    <row r="29" spans="1:8">
      <c r="A29" s="12">
        <v>28</v>
      </c>
      <c r="B29" s="12" t="s">
        <v>568</v>
      </c>
      <c r="C29" s="12" t="s">
        <v>579</v>
      </c>
      <c r="D29" s="12" t="s">
        <v>580</v>
      </c>
      <c r="E29" s="12" t="s">
        <v>574</v>
      </c>
      <c r="F29" s="12" t="s">
        <v>3</v>
      </c>
      <c r="G29" s="12"/>
      <c r="H29" s="12"/>
    </row>
    <row r="30" spans="1:8">
      <c r="A30" s="12">
        <v>29</v>
      </c>
      <c r="B30" s="12" t="s">
        <v>568</v>
      </c>
      <c r="C30" s="12" t="s">
        <v>581</v>
      </c>
      <c r="D30" s="12" t="s">
        <v>582</v>
      </c>
      <c r="E30" s="12" t="s">
        <v>583</v>
      </c>
      <c r="F30" s="12" t="s">
        <v>3</v>
      </c>
      <c r="G30" s="12"/>
      <c r="H30" s="12"/>
    </row>
    <row r="31" spans="1:8" ht="28.8">
      <c r="A31" s="12">
        <v>30</v>
      </c>
      <c r="B31" s="12" t="s">
        <v>568</v>
      </c>
      <c r="C31" s="12" t="s">
        <v>584</v>
      </c>
      <c r="D31" s="12" t="s">
        <v>585</v>
      </c>
      <c r="E31" s="12" t="s">
        <v>586</v>
      </c>
      <c r="F31" s="12" t="s">
        <v>3</v>
      </c>
      <c r="G31" s="12"/>
      <c r="H31" s="12"/>
    </row>
    <row r="32" spans="1:8">
      <c r="A32" s="12">
        <v>31</v>
      </c>
      <c r="B32" s="12" t="s">
        <v>568</v>
      </c>
      <c r="C32" s="12" t="s">
        <v>587</v>
      </c>
      <c r="D32" s="12" t="s">
        <v>588</v>
      </c>
      <c r="E32" s="12" t="s">
        <v>574</v>
      </c>
      <c r="F32" s="12" t="s">
        <v>3</v>
      </c>
      <c r="G32" s="12"/>
      <c r="H32" s="12"/>
    </row>
    <row r="33" spans="1:8" ht="28.8">
      <c r="A33" s="12">
        <v>32</v>
      </c>
      <c r="B33" s="12" t="s">
        <v>568</v>
      </c>
      <c r="C33" s="12" t="s">
        <v>589</v>
      </c>
      <c r="D33" s="12" t="s">
        <v>590</v>
      </c>
      <c r="E33" s="12" t="s">
        <v>591</v>
      </c>
      <c r="F33" s="12" t="s">
        <v>3</v>
      </c>
      <c r="G33" s="12"/>
      <c r="H33" s="12"/>
    </row>
    <row r="34" spans="1:8">
      <c r="A34" s="12">
        <v>33</v>
      </c>
      <c r="B34" s="12" t="s">
        <v>568</v>
      </c>
      <c r="C34" s="12" t="s">
        <v>592</v>
      </c>
      <c r="D34" s="12" t="s">
        <v>593</v>
      </c>
      <c r="E34" s="12" t="s">
        <v>594</v>
      </c>
      <c r="F34" s="12" t="s">
        <v>3</v>
      </c>
      <c r="G34" s="12"/>
      <c r="H34" s="12"/>
    </row>
    <row r="35" spans="1:8">
      <c r="A35" s="12">
        <v>34</v>
      </c>
      <c r="B35" s="12" t="s">
        <v>568</v>
      </c>
      <c r="C35" s="12" t="s">
        <v>595</v>
      </c>
      <c r="D35" s="12" t="s">
        <v>596</v>
      </c>
      <c r="E35" s="12" t="s">
        <v>597</v>
      </c>
      <c r="F35" s="12" t="s">
        <v>3</v>
      </c>
      <c r="G35" s="12"/>
      <c r="H35" s="12"/>
    </row>
    <row r="36" spans="1:8" ht="28.8">
      <c r="A36" s="12">
        <v>35</v>
      </c>
      <c r="B36" s="12" t="s">
        <v>568</v>
      </c>
      <c r="C36" s="12" t="s">
        <v>598</v>
      </c>
      <c r="D36" s="12" t="s">
        <v>599</v>
      </c>
      <c r="E36" s="12" t="s">
        <v>600</v>
      </c>
      <c r="F36" s="12" t="s">
        <v>3</v>
      </c>
      <c r="G36" s="12"/>
      <c r="H36" s="12"/>
    </row>
    <row r="37" spans="1:8">
      <c r="A37" s="12">
        <v>36</v>
      </c>
      <c r="B37" s="12" t="s">
        <v>568</v>
      </c>
      <c r="C37" s="12" t="s">
        <v>601</v>
      </c>
      <c r="D37" s="12" t="s">
        <v>602</v>
      </c>
      <c r="E37" s="12" t="s">
        <v>603</v>
      </c>
      <c r="F37" s="12" t="s">
        <v>3</v>
      </c>
      <c r="G37" s="12"/>
      <c r="H37" s="12"/>
    </row>
  </sheetData>
  <conditionalFormatting sqref="F2:F37">
    <cfRule type="expression" dxfId="51" priority="1">
      <formula>F2="Done"</formula>
    </cfRule>
    <cfRule type="expression" dxfId="50" priority="2">
      <formula>F2="In Progress"</formula>
    </cfRule>
    <cfRule type="expression" dxfId="49" priority="3">
      <formula>F2="Not Started"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Lists!$A$2:$A$4</xm:f>
          </x14:formula1>
          <xm:sqref>F2:F37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tabSelected="1" workbookViewId="0">
      <selection activeCell="K10" sqref="K10"/>
    </sheetView>
  </sheetViews>
  <sheetFormatPr defaultRowHeight="14.4"/>
  <cols>
    <col min="1" max="1" width="22" style="11" customWidth="1"/>
    <col min="2" max="2" width="14" style="11" customWidth="1"/>
    <col min="3" max="3" width="4" style="11" customWidth="1"/>
    <col min="4" max="4" width="24" style="11" customWidth="1"/>
    <col min="5" max="8" width="14" style="11" customWidth="1"/>
    <col min="9" max="16384" width="8.796875" style="11"/>
  </cols>
  <sheetData>
    <row r="1" spans="1:8">
      <c r="A1" s="16" t="s">
        <v>604</v>
      </c>
      <c r="B1" s="16"/>
      <c r="C1" s="16"/>
      <c r="D1" s="16"/>
      <c r="E1" s="16"/>
      <c r="F1" s="16"/>
      <c r="G1" s="16"/>
      <c r="H1" s="16"/>
    </row>
    <row r="2" spans="1:8">
      <c r="A2" s="16"/>
      <c r="B2" s="16"/>
      <c r="C2" s="16"/>
      <c r="D2" s="16"/>
      <c r="E2" s="16"/>
      <c r="F2" s="16"/>
      <c r="G2" s="16"/>
      <c r="H2" s="16"/>
    </row>
    <row r="4" spans="1:8">
      <c r="A4" s="18" t="s">
        <v>605</v>
      </c>
      <c r="B4" s="19" t="s">
        <v>606</v>
      </c>
      <c r="D4" s="18" t="s">
        <v>407</v>
      </c>
      <c r="E4" s="20" t="s">
        <v>9</v>
      </c>
      <c r="F4" s="20" t="s">
        <v>6</v>
      </c>
      <c r="G4" s="19" t="s">
        <v>3</v>
      </c>
    </row>
    <row r="5" spans="1:8">
      <c r="A5" s="21" t="s">
        <v>607</v>
      </c>
      <c r="B5" s="22">
        <f>COUNTA('Product Roadmap'!A2:A77)</f>
        <v>76</v>
      </c>
      <c r="D5" s="21" t="s">
        <v>608</v>
      </c>
      <c r="E5" s="11">
        <f>COUNTIF('Product Roadmap'!I2:I77,"Done")</f>
        <v>0</v>
      </c>
      <c r="F5" s="11">
        <f>COUNTIF('Product Roadmap'!I2:I77,"In Progress")</f>
        <v>0</v>
      </c>
      <c r="G5" s="22">
        <f>COUNTIF('Product Roadmap'!I2:I77,"Not Started")</f>
        <v>76</v>
      </c>
    </row>
    <row r="6" spans="1:8">
      <c r="A6" s="21" t="s">
        <v>609</v>
      </c>
      <c r="B6" s="22">
        <f>COUNTA('Security Checklist'!A2:A31)</f>
        <v>30</v>
      </c>
      <c r="D6" s="21" t="s">
        <v>610</v>
      </c>
      <c r="E6" s="11">
        <f>COUNTIF('Security Checklist'!G2:G31,"Done")</f>
        <v>0</v>
      </c>
      <c r="F6" s="11">
        <f>COUNTIF('Security Checklist'!G2:G31,"In Progress")</f>
        <v>0</v>
      </c>
      <c r="G6" s="22">
        <f>COUNTIF('Security Checklist'!G2:G31,"Not Started")</f>
        <v>30</v>
      </c>
    </row>
    <row r="7" spans="1:8">
      <c r="A7" s="21" t="s">
        <v>611</v>
      </c>
      <c r="B7" s="22">
        <f>COUNTA('Performance Checklist'!A2:A26)</f>
        <v>25</v>
      </c>
      <c r="D7" s="21" t="s">
        <v>612</v>
      </c>
      <c r="E7" s="11">
        <f>COUNTIF('Performance Checklist'!G2:G26,"Done")</f>
        <v>0</v>
      </c>
      <c r="F7" s="11">
        <f>COUNTIF('Performance Checklist'!G2:G26,"In Progress")</f>
        <v>0</v>
      </c>
      <c r="G7" s="22">
        <f>COUNTIF('Performance Checklist'!G2:G26,"Not Started")</f>
        <v>25</v>
      </c>
    </row>
    <row r="8" spans="1:8">
      <c r="A8" s="23" t="s">
        <v>613</v>
      </c>
      <c r="B8" s="24">
        <f>COUNTA('MVP Deployment Order'!A2:A37)</f>
        <v>36</v>
      </c>
      <c r="D8" s="23" t="s">
        <v>614</v>
      </c>
      <c r="E8" s="25">
        <f>COUNTIF('MVP Deployment Order'!F2:F37,"Done")</f>
        <v>0</v>
      </c>
      <c r="F8" s="25">
        <f>COUNTIF('MVP Deployment Order'!F2:F37,"In Progress")</f>
        <v>0</v>
      </c>
      <c r="G8" s="24">
        <f>COUNTIF('MVP Deployment Order'!F2:F37,"Not Started")</f>
        <v>36</v>
      </c>
    </row>
    <row r="10" spans="1:8">
      <c r="A10" s="17" t="s">
        <v>615</v>
      </c>
      <c r="B10" s="17"/>
      <c r="C10" s="17"/>
      <c r="D10" s="17"/>
      <c r="E10" s="17"/>
      <c r="F10" s="17"/>
      <c r="G10" s="17"/>
      <c r="H10" s="17"/>
    </row>
    <row r="11" spans="1:8">
      <c r="A11" s="17"/>
      <c r="B11" s="17"/>
      <c r="C11" s="17"/>
      <c r="D11" s="17"/>
      <c r="E11" s="17"/>
      <c r="F11" s="17"/>
      <c r="G11" s="17"/>
      <c r="H11" s="17"/>
    </row>
    <row r="12" spans="1:8">
      <c r="A12" s="17"/>
      <c r="B12" s="17"/>
      <c r="C12" s="17"/>
      <c r="D12" s="17"/>
      <c r="E12" s="17"/>
      <c r="F12" s="17"/>
      <c r="G12" s="17"/>
      <c r="H12" s="17"/>
    </row>
    <row r="13" spans="1:8">
      <c r="A13" s="17"/>
      <c r="B13" s="17"/>
      <c r="C13" s="17"/>
      <c r="D13" s="17"/>
      <c r="E13" s="17"/>
      <c r="F13" s="17"/>
      <c r="G13" s="17"/>
      <c r="H13" s="17"/>
    </row>
  </sheetData>
  <mergeCells count="2">
    <mergeCell ref="A1:H2"/>
    <mergeCell ref="A10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Lists</vt:lpstr>
      <vt:lpstr>Product Roadmap</vt:lpstr>
      <vt:lpstr>Security Checklist</vt:lpstr>
      <vt:lpstr>Performance Checklist</vt:lpstr>
      <vt:lpstr>MVP Deployment Order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 Prakash Singh</cp:lastModifiedBy>
  <dcterms:modified xsi:type="dcterms:W3CDTF">2026-07-11T04:12:01Z</dcterms:modified>
</cp:coreProperties>
</file>